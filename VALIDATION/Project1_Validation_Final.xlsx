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l\OneDrive\Desktop\INTERNSHIP\"/>
    </mc:Choice>
  </mc:AlternateContent>
  <xr:revisionPtr revIDLastSave="0" documentId="8_{30C55293-68E1-4D2D-A5A2-53EBC2B7B6DC}" xr6:coauthVersionLast="47" xr6:coauthVersionMax="47" xr10:uidLastSave="{00000000-0000-0000-0000-000000000000}"/>
  <bookViews>
    <workbookView xWindow="-108" yWindow="-108" windowWidth="23256" windowHeight="12456" firstSheet="2" activeTab="3" xr2:uid="{D71A0B6B-ED41-4513-BFF7-27107A843A58}"/>
  </bookViews>
  <sheets>
    <sheet name="export_data" sheetId="1" r:id="rId1"/>
    <sheet name="ECL Crosscheck" sheetId="2" r:id="rId2"/>
    <sheet name="Waterfall Validation" sheetId="4" r:id="rId3"/>
    <sheet name="DAX_Measure_Directory" sheetId="6" r:id="rId4"/>
    <sheet name="DAX Performance" sheetId="7" r:id="rId5"/>
  </sheets>
  <definedNames>
    <definedName name="ExternalData_1" localSheetId="3" hidden="1">DAX_Measure_Directory!$A$1:$B$115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7" l="1"/>
  <c r="C14" i="7"/>
  <c r="C13" i="7"/>
  <c r="C12" i="7"/>
  <c r="C5" i="7"/>
  <c r="C6" i="7"/>
  <c r="C7" i="7"/>
  <c r="C8" i="7"/>
  <c r="C9" i="7"/>
  <c r="C10" i="7"/>
  <c r="C11" i="7"/>
  <c r="C4" i="7"/>
  <c r="C3" i="7"/>
  <c r="C2" i="7"/>
  <c r="E6" i="4"/>
  <c r="E5" i="4"/>
  <c r="E4" i="4"/>
  <c r="D6" i="4"/>
  <c r="D5" i="4"/>
  <c r="D4" i="4"/>
  <c r="E3" i="4"/>
  <c r="D3" i="4"/>
  <c r="E2" i="4"/>
  <c r="D2" i="4"/>
  <c r="B7" i="4"/>
  <c r="B8" i="4" s="1"/>
  <c r="B6" i="2"/>
  <c r="B7" i="2" s="1"/>
  <c r="B8" i="2" s="1"/>
  <c r="B9" i="4" l="1"/>
  <c r="B10" i="4" s="1"/>
  <c r="B11" i="4" s="1"/>
  <c r="B1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C8A51E-E447-4D4D-81C5-4B10BF8482C0}" keepAlive="1" name="Query - DAX_Measure_Directory" description="Connection to the 'DAX_Measure_Directory' query in the workbook." type="5" refreshedVersion="8" background="1" saveData="1">
    <dbPr connection="Provider=Microsoft.Mashup.OleDb.1;Data Source=$Workbook$;Location=DAX_Measure_Directory;Extended Properties=&quot;&quot;" command="SELECT * FROM [DAX_Measure_Directory]"/>
  </connection>
</connections>
</file>

<file path=xl/sharedStrings.xml><?xml version="1.0" encoding="utf-8"?>
<sst xmlns="http://schemas.openxmlformats.org/spreadsheetml/2006/main" count="6309" uniqueCount="1401">
  <si>
    <t>LoanID</t>
  </si>
  <si>
    <t>BorrowerID</t>
  </si>
  <si>
    <t>VehicleType</t>
  </si>
  <si>
    <t>LoanPurpose</t>
  </si>
  <si>
    <t>Original Balance</t>
  </si>
  <si>
    <t>Original Term</t>
  </si>
  <si>
    <t>Interest Rate</t>
  </si>
  <si>
    <t>Current Balance</t>
  </si>
  <si>
    <t>Delinquency Days</t>
  </si>
  <si>
    <t>Recovery Amount</t>
  </si>
  <si>
    <t>Prepayment Amount</t>
  </si>
  <si>
    <t>IFRS9_Stage</t>
  </si>
  <si>
    <t>Cumulative Gross Loss</t>
  </si>
  <si>
    <t>Reporting Date</t>
  </si>
  <si>
    <t>DelinquencyStatus</t>
  </si>
  <si>
    <t>OriginationChannel</t>
  </si>
  <si>
    <t>OriginationDate</t>
  </si>
  <si>
    <t>VehicleMake</t>
  </si>
  <si>
    <t>VehicleModel</t>
  </si>
  <si>
    <t>Vehicle Year</t>
  </si>
  <si>
    <t>CIBIL_Score_Origination</t>
  </si>
  <si>
    <t>CIBIL_Score_Current</t>
  </si>
  <si>
    <t>EmploymentType</t>
  </si>
  <si>
    <t>State</t>
  </si>
  <si>
    <t>PoolID</t>
  </si>
  <si>
    <t>ServicerID</t>
  </si>
  <si>
    <t>IsModified</t>
  </si>
  <si>
    <t>Sum of CurrentVehicleValue</t>
  </si>
  <si>
    <t>ZAAUTO2024-1-00091</t>
  </si>
  <si>
    <t>BOR-361662</t>
  </si>
  <si>
    <t>Sedan</t>
  </si>
  <si>
    <t>New Vehicle Purchase</t>
  </si>
  <si>
    <t>Current</t>
  </si>
  <si>
    <t>DSA</t>
  </si>
  <si>
    <t>Mahindra</t>
  </si>
  <si>
    <t>Thar</t>
  </si>
  <si>
    <t>Business Owner</t>
  </si>
  <si>
    <t>Jharkhand</t>
  </si>
  <si>
    <t>ZAAUTO2024-1</t>
  </si>
  <si>
    <t>SVC001</t>
  </si>
  <si>
    <t>ZAAUTO2024-1-00221</t>
  </si>
  <si>
    <t>BOR-826648</t>
  </si>
  <si>
    <t>Hatchback</t>
  </si>
  <si>
    <t>Refinance</t>
  </si>
  <si>
    <t>Direct</t>
  </si>
  <si>
    <t>Skoda</t>
  </si>
  <si>
    <t>Kushaq</t>
  </si>
  <si>
    <t>Punjab</t>
  </si>
  <si>
    <t>ZAAUTO2024-1-00256</t>
  </si>
  <si>
    <t>BOR-160200</t>
  </si>
  <si>
    <t>Dealer</t>
  </si>
  <si>
    <t>Kia</t>
  </si>
  <si>
    <t>Sonet</t>
  </si>
  <si>
    <t>Madhya Pradesh</t>
  </si>
  <si>
    <t>SVC003</t>
  </si>
  <si>
    <t>ZAAUTO2024-1-00086</t>
  </si>
  <si>
    <t>BOR-199326</t>
  </si>
  <si>
    <t>Salaried</t>
  </si>
  <si>
    <t>Tamil Nadu</t>
  </si>
  <si>
    <t>ZAAUTO2024-1-00360</t>
  </si>
  <si>
    <t>BOR-762574</t>
  </si>
  <si>
    <t>Toyota</t>
  </si>
  <si>
    <t>Urban Cruiser</t>
  </si>
  <si>
    <t>Self-Employed</t>
  </si>
  <si>
    <t>Haryana</t>
  </si>
  <si>
    <t>ZAAUTO2024-1-00351</t>
  </si>
  <si>
    <t>BOR-777162</t>
  </si>
  <si>
    <t>MUV</t>
  </si>
  <si>
    <t>MG Motor</t>
  </si>
  <si>
    <t>Astor</t>
  </si>
  <si>
    <t>Professional</t>
  </si>
  <si>
    <t>Andhra Pradesh</t>
  </si>
  <si>
    <t>ZAAUTO2024-1-00353</t>
  </si>
  <si>
    <t>BOR-449188</t>
  </si>
  <si>
    <t>Online</t>
  </si>
  <si>
    <t>Glanza</t>
  </si>
  <si>
    <t>Uttar Pradesh</t>
  </si>
  <si>
    <t>ZAAUTO2024-1-00447</t>
  </si>
  <si>
    <t>BOR-776526</t>
  </si>
  <si>
    <t>Seltos</t>
  </si>
  <si>
    <t>Odisha</t>
  </si>
  <si>
    <t>SVC002</t>
  </si>
  <si>
    <t>ZAAUTO2024-1-00071</t>
  </si>
  <si>
    <t>BOR-812565</t>
  </si>
  <si>
    <t>Used Vehicle Purchase</t>
  </si>
  <si>
    <t>Honda</t>
  </si>
  <si>
    <t>City</t>
  </si>
  <si>
    <t>ZAAUTO2024-1-00361</t>
  </si>
  <si>
    <t>BOR-644287</t>
  </si>
  <si>
    <t>Tata Motors</t>
  </si>
  <si>
    <t>Harrier</t>
  </si>
  <si>
    <t>Karnataka</t>
  </si>
  <si>
    <t>ZAAUTO2024-1-00396</t>
  </si>
  <si>
    <t>BOR-892684</t>
  </si>
  <si>
    <t>Volkswagen</t>
  </si>
  <si>
    <t>Taigun</t>
  </si>
  <si>
    <t>ZAAUTO2024-1-00450</t>
  </si>
  <si>
    <t>BOR-625004</t>
  </si>
  <si>
    <t>Compact SUV</t>
  </si>
  <si>
    <t>Hyundai</t>
  </si>
  <si>
    <t>Creta</t>
  </si>
  <si>
    <t>ZAAUTO2024-1-00145</t>
  </si>
  <si>
    <t>BOR-625600</t>
  </si>
  <si>
    <t>SUV</t>
  </si>
  <si>
    <t>Maharashtra</t>
  </si>
  <si>
    <t>ZAAUTO2024-1-00343</t>
  </si>
  <si>
    <t>BOR-595104</t>
  </si>
  <si>
    <t>Slavia</t>
  </si>
  <si>
    <t>Chhattisgarh</t>
  </si>
  <si>
    <t>ZAAUTO2024-1-00259</t>
  </si>
  <si>
    <t>BOR-240173</t>
  </si>
  <si>
    <t>90-119 DPD</t>
  </si>
  <si>
    <t>Punch</t>
  </si>
  <si>
    <t>Kerala</t>
  </si>
  <si>
    <t>ZAAUTO2024-1-00332</t>
  </si>
  <si>
    <t>BOR-490366</t>
  </si>
  <si>
    <t>30-59 DPD</t>
  </si>
  <si>
    <t>Virtus</t>
  </si>
  <si>
    <t>ZAAUTO2024-1-00017</t>
  </si>
  <si>
    <t>BOR-991597</t>
  </si>
  <si>
    <t>ZAAUTO2024-1-00036</t>
  </si>
  <si>
    <t>BOR-837852</t>
  </si>
  <si>
    <t>60-89 DPD</t>
  </si>
  <si>
    <t>XUV700</t>
  </si>
  <si>
    <t>ZAAUTO2024-1-00127</t>
  </si>
  <si>
    <t>BOR-795650</t>
  </si>
  <si>
    <t>Goa</t>
  </si>
  <si>
    <t>ZAAUTO2024-1-00148</t>
  </si>
  <si>
    <t>BOR-699716</t>
  </si>
  <si>
    <t>Default</t>
  </si>
  <si>
    <t>Amaze</t>
  </si>
  <si>
    <t>ZAAUTO2024-1-00178</t>
  </si>
  <si>
    <t>BOR-798724</t>
  </si>
  <si>
    <t>Hector</t>
  </si>
  <si>
    <t>ZAAUTO2024-1-00179</t>
  </si>
  <si>
    <t>BOR-863933</t>
  </si>
  <si>
    <t>Fortuner</t>
  </si>
  <si>
    <t>ZAAUTO2024-1-00193</t>
  </si>
  <si>
    <t>BOR-130557</t>
  </si>
  <si>
    <t>1-29 DPD</t>
  </si>
  <si>
    <t>Delhi</t>
  </si>
  <si>
    <t>ZAAUTO2024-1-00199</t>
  </si>
  <si>
    <t>BOR-417201</t>
  </si>
  <si>
    <t>ZAAUTO2024-1-00225</t>
  </si>
  <si>
    <t>BOR-414186</t>
  </si>
  <si>
    <t>Bolero</t>
  </si>
  <si>
    <t>ZAAUTO2024-1-00238</t>
  </si>
  <si>
    <t>BOR-444656</t>
  </si>
  <si>
    <t>Bihar</t>
  </si>
  <si>
    <t>ZAAUTO2024-1-00002</t>
  </si>
  <si>
    <t>BOR-748564</t>
  </si>
  <si>
    <t>ZAAUTO2024-1-00083</t>
  </si>
  <si>
    <t>BOR-225200</t>
  </si>
  <si>
    <t>ZAAUTO2024-1-00267</t>
  </si>
  <si>
    <t>BOR-158589</t>
  </si>
  <si>
    <t>ZAAUTO2024-1-00273</t>
  </si>
  <si>
    <t>BOR-697817</t>
  </si>
  <si>
    <t>Venue</t>
  </si>
  <si>
    <t>ZAAUTO2024-1-00459</t>
  </si>
  <si>
    <t>BOR-882094</t>
  </si>
  <si>
    <t>ZAAUTO2024-1-00020</t>
  </si>
  <si>
    <t>BOR-592198</t>
  </si>
  <si>
    <t>West Bengal</t>
  </si>
  <si>
    <t>ZAAUTO2024-1-00227</t>
  </si>
  <si>
    <t>BOR-715855</t>
  </si>
  <si>
    <t>ZAAUTO2024-1-00370</t>
  </si>
  <si>
    <t>BOR-680987</t>
  </si>
  <si>
    <t>ZAAUTO2024-1-00032</t>
  </si>
  <si>
    <t>BOR-744986</t>
  </si>
  <si>
    <t>ZAAUTO2024-1-00084</t>
  </si>
  <si>
    <t>BOR-208998</t>
  </si>
  <si>
    <t>Maruti Suzuki</t>
  </si>
  <si>
    <t>Ertiga</t>
  </si>
  <si>
    <t>ZAAUTO2024-1-00344</t>
  </si>
  <si>
    <t>BOR-124872</t>
  </si>
  <si>
    <t>ZAAUTO2024-1-00446</t>
  </si>
  <si>
    <t>BOR-997744</t>
  </si>
  <si>
    <t>ZAAUTO2024-1-00251</t>
  </si>
  <si>
    <t>BOR-412856</t>
  </si>
  <si>
    <t>ZAAUTO2024-1-00389</t>
  </si>
  <si>
    <t>BOR-433864</t>
  </si>
  <si>
    <t>ZAAUTO2024-1-00185</t>
  </si>
  <si>
    <t>BOR-268356</t>
  </si>
  <si>
    <t>Altroz</t>
  </si>
  <si>
    <t>ZAAUTO2024-1-00355</t>
  </si>
  <si>
    <t>BOR-659333</t>
  </si>
  <si>
    <t>XUV300</t>
  </si>
  <si>
    <t>ZAAUTO2024-1-00500</t>
  </si>
  <si>
    <t>BOR-597793</t>
  </si>
  <si>
    <t>Safari</t>
  </si>
  <si>
    <t>ZAAUTO2024-1-00488</t>
  </si>
  <si>
    <t>BOR-756367</t>
  </si>
  <si>
    <t>ZAAUTO2024-1-00021</t>
  </si>
  <si>
    <t>BOR-321275</t>
  </si>
  <si>
    <t>Carens</t>
  </si>
  <si>
    <t>ZAAUTO2024-1-00293</t>
  </si>
  <si>
    <t>BOR-548709</t>
  </si>
  <si>
    <t>Rajasthan</t>
  </si>
  <si>
    <t>ZAAUTO2024-1-00335</t>
  </si>
  <si>
    <t>BOR-456359</t>
  </si>
  <si>
    <t>i20</t>
  </si>
  <si>
    <t>ZAAUTO2024-1-00138</t>
  </si>
  <si>
    <t>BOR-174316</t>
  </si>
  <si>
    <t>ZAAUTO2024-1-00175</t>
  </si>
  <si>
    <t>BOR-382894</t>
  </si>
  <si>
    <t>Gloster</t>
  </si>
  <si>
    <t>ZAAUTO2024-1-00184</t>
  </si>
  <si>
    <t>BOR-821469</t>
  </si>
  <si>
    <t>ZAAUTO2024-1-00296</t>
  </si>
  <si>
    <t>BOR-868661</t>
  </si>
  <si>
    <t>Innova</t>
  </si>
  <si>
    <t>ZAAUTO2024-1-00043</t>
  </si>
  <si>
    <t>BOR-698384</t>
  </si>
  <si>
    <t>ZAAUTO2024-1-00067</t>
  </si>
  <si>
    <t>BOR-748665</t>
  </si>
  <si>
    <t>ZAAUTO2024-1-00131</t>
  </si>
  <si>
    <t>BOR-675074</t>
  </si>
  <si>
    <t>ZAAUTO2024-1-00168</t>
  </si>
  <si>
    <t>BOR-413388</t>
  </si>
  <si>
    <t>Verna</t>
  </si>
  <si>
    <t>ZAAUTO2024-1-00383</t>
  </si>
  <si>
    <t>BOR-742069</t>
  </si>
  <si>
    <t>ZAAUTO2024-1-00385</t>
  </si>
  <si>
    <t>BOR-801396</t>
  </si>
  <si>
    <t>ZAAUTO2024-1-00055</t>
  </si>
  <si>
    <t>BOR-401198</t>
  </si>
  <si>
    <t>Telangana</t>
  </si>
  <si>
    <t>ZAAUTO2024-1-00075</t>
  </si>
  <si>
    <t>BOR-359555</t>
  </si>
  <si>
    <t>ZAAUTO2024-1-00096</t>
  </si>
  <si>
    <t>BOR-965938</t>
  </si>
  <si>
    <t>ZAAUTO2024-1-00132</t>
  </si>
  <si>
    <t>BOR-659713</t>
  </si>
  <si>
    <t>Gujarat</t>
  </si>
  <si>
    <t>ZAAUTO2024-1-00443</t>
  </si>
  <si>
    <t>BOR-315273</t>
  </si>
  <si>
    <t>ZAAUTO2024-1-00191</t>
  </si>
  <si>
    <t>BOR-701380</t>
  </si>
  <si>
    <t>ZAAUTO2024-1-00423</t>
  </si>
  <si>
    <t>BOR-108902</t>
  </si>
  <si>
    <t>ZAAUTO2024-1-00188</t>
  </si>
  <si>
    <t>BOR-287795</t>
  </si>
  <si>
    <t>ZAAUTO2024-1-00325</t>
  </si>
  <si>
    <t>BOR-105874</t>
  </si>
  <si>
    <t>ZAAUTO2024-1-00373</t>
  </si>
  <si>
    <t>BOR-290617</t>
  </si>
  <si>
    <t>ZAAUTO2024-1-00433</t>
  </si>
  <si>
    <t>BOR-197483</t>
  </si>
  <si>
    <t>ZAAUTO2024-1-00095</t>
  </si>
  <si>
    <t>BOR-256911</t>
  </si>
  <si>
    <t>ZAAUTO2024-1-00226</t>
  </si>
  <si>
    <t>BOR-305507</t>
  </si>
  <si>
    <t>ZAAUTO2024-1-00258</t>
  </si>
  <si>
    <t>BOR-466709</t>
  </si>
  <si>
    <t>ZAAUTO2024-1-00280</t>
  </si>
  <si>
    <t>BOR-813327</t>
  </si>
  <si>
    <t>ZAAUTO2024-1-00497</t>
  </si>
  <si>
    <t>BOR-208691</t>
  </si>
  <si>
    <t>ZAAUTO2024-1-00010</t>
  </si>
  <si>
    <t>BOR-934794</t>
  </si>
  <si>
    <t>120+ DPD</t>
  </si>
  <si>
    <t>ZAAUTO2024-1-00103</t>
  </si>
  <si>
    <t>BOR-645583</t>
  </si>
  <si>
    <t>ZAAUTO2024-1-00009</t>
  </si>
  <si>
    <t>BOR-413921</t>
  </si>
  <si>
    <t>ZAAUTO2024-1-00194</t>
  </si>
  <si>
    <t>BOR-508892</t>
  </si>
  <si>
    <t>ZAAUTO2024-1-00262</t>
  </si>
  <si>
    <t>BOR-320235</t>
  </si>
  <si>
    <t>ZAAUTO2024-1-00435</t>
  </si>
  <si>
    <t>BOR-102954</t>
  </si>
  <si>
    <t>ZAAUTO2024-1-00056</t>
  </si>
  <si>
    <t>BOR-240718</t>
  </si>
  <si>
    <t>ZAAUTO2024-1-00208</t>
  </si>
  <si>
    <t>BOR-968167</t>
  </si>
  <si>
    <t>ZAAUTO2024-1-00374</t>
  </si>
  <si>
    <t>BOR-790474</t>
  </si>
  <si>
    <t>ZAAUTO2024-1-00384</t>
  </si>
  <si>
    <t>BOR-759221</t>
  </si>
  <si>
    <t>ZAAUTO2024-1-00453</t>
  </si>
  <si>
    <t>BOR-249522</t>
  </si>
  <si>
    <t>Dzire</t>
  </si>
  <si>
    <t>ZAAUTO2024-1-00236</t>
  </si>
  <si>
    <t>BOR-317180</t>
  </si>
  <si>
    <t>ZAAUTO2024-1-00291</t>
  </si>
  <si>
    <t>BOR-794037</t>
  </si>
  <si>
    <t>ZAAUTO2024-1-00356</t>
  </si>
  <si>
    <t>BOR-641585</t>
  </si>
  <si>
    <t>ZAAUTO2024-1-00456</t>
  </si>
  <si>
    <t>BOR-968235</t>
  </si>
  <si>
    <t>ZAAUTO2024-1-00288</t>
  </si>
  <si>
    <t>BOR-830288</t>
  </si>
  <si>
    <t>ZAAUTO2024-1-00341</t>
  </si>
  <si>
    <t>BOR-663706</t>
  </si>
  <si>
    <t>ZAAUTO2024-1-00076</t>
  </si>
  <si>
    <t>BOR-531589</t>
  </si>
  <si>
    <t>ZAAUTO2024-1-00041</t>
  </si>
  <si>
    <t>BOR-538997</t>
  </si>
  <si>
    <t>ZAAUTO2024-1-00117</t>
  </si>
  <si>
    <t>BOR-776909</t>
  </si>
  <si>
    <t>ZAAUTO2024-1-00255</t>
  </si>
  <si>
    <t>BOR-109958</t>
  </si>
  <si>
    <t>ZAAUTO2024-1-00316</t>
  </si>
  <si>
    <t>BOR-735615</t>
  </si>
  <si>
    <t>ZAAUTO2024-1-00358</t>
  </si>
  <si>
    <t>BOR-127084</t>
  </si>
  <si>
    <t>Nexon</t>
  </si>
  <si>
    <t>ZAAUTO2024-1-00449</t>
  </si>
  <si>
    <t>BOR-430378</t>
  </si>
  <si>
    <t>ZAAUTO2024-1-00037</t>
  </si>
  <si>
    <t>BOR-466346</t>
  </si>
  <si>
    <t>ZAAUTO2024-1-00134</t>
  </si>
  <si>
    <t>BOR-489438</t>
  </si>
  <si>
    <t>ZAAUTO2024-1-00182</t>
  </si>
  <si>
    <t>BOR-986340</t>
  </si>
  <si>
    <t>ZAAUTO2024-1-00198</t>
  </si>
  <si>
    <t>BOR-810083</t>
  </si>
  <si>
    <t>ZAAUTO2024-1-00426</t>
  </si>
  <si>
    <t>BOR-362773</t>
  </si>
  <si>
    <t>ZAAUTO2024-1-00200</t>
  </si>
  <si>
    <t>BOR-900771</t>
  </si>
  <si>
    <t>ZAAUTO2024-1-00469</t>
  </si>
  <si>
    <t>BOR-992924</t>
  </si>
  <si>
    <t>ZAAUTO2024-1-00405</t>
  </si>
  <si>
    <t>BOR-730320</t>
  </si>
  <si>
    <t>Wagon R</t>
  </si>
  <si>
    <t>ZAAUTO2024-1-00421</t>
  </si>
  <si>
    <t>BOR-685701</t>
  </si>
  <si>
    <t>ZAAUTO2024-1-00088</t>
  </si>
  <si>
    <t>BOR-161437</t>
  </si>
  <si>
    <t>ZAAUTO2024-1-00363</t>
  </si>
  <si>
    <t>BOR-604293</t>
  </si>
  <si>
    <t>ZAAUTO2024-1-00048</t>
  </si>
  <si>
    <t>BOR-158104</t>
  </si>
  <si>
    <t>ZAAUTO2024-1-00183</t>
  </si>
  <si>
    <t>BOR-491133</t>
  </si>
  <si>
    <t>ZAAUTO2024-1-00246</t>
  </si>
  <si>
    <t>BOR-889842</t>
  </si>
  <si>
    <t>ZAAUTO2024-1-00092</t>
  </si>
  <si>
    <t>BOR-606186</t>
  </si>
  <si>
    <t>ZAAUTO2024-1-00105</t>
  </si>
  <si>
    <t>BOR-991993</t>
  </si>
  <si>
    <t>ZAAUTO2024-1-00130</t>
  </si>
  <si>
    <t>BOR-182216</t>
  </si>
  <si>
    <t>ZAAUTO2024-1-00139</t>
  </si>
  <si>
    <t>BOR-807256</t>
  </si>
  <si>
    <t>ZAAUTO2024-1-00068</t>
  </si>
  <si>
    <t>BOR-686716</t>
  </si>
  <si>
    <t>ZAAUTO2024-1-00090</t>
  </si>
  <si>
    <t>BOR-827250</t>
  </si>
  <si>
    <t>ZAAUTO2024-1-00467</t>
  </si>
  <si>
    <t>BOR-443807</t>
  </si>
  <si>
    <t>ZAAUTO2024-1-00018</t>
  </si>
  <si>
    <t>BOR-452737</t>
  </si>
  <si>
    <t>ZAAUTO2024-1-00286</t>
  </si>
  <si>
    <t>BOR-656267</t>
  </si>
  <si>
    <t>ZAAUTO2024-1-00474</t>
  </si>
  <si>
    <t>BOR-352800</t>
  </si>
  <si>
    <t>Tiago</t>
  </si>
  <si>
    <t>ZAAUTO2024-1-00299</t>
  </si>
  <si>
    <t>BOR-509693</t>
  </si>
  <si>
    <t>Scorpio</t>
  </si>
  <si>
    <t>ZAAUTO2024-1-00390</t>
  </si>
  <si>
    <t>BOR-929816</t>
  </si>
  <si>
    <t>ZAAUTO2024-1-00205</t>
  </si>
  <si>
    <t>BOR-823825</t>
  </si>
  <si>
    <t>ZAAUTO2024-1-00400</t>
  </si>
  <si>
    <t>BOR-312544</t>
  </si>
  <si>
    <t>Repossessed</t>
  </si>
  <si>
    <t>ZAAUTO2024-1-00243</t>
  </si>
  <si>
    <t>BOR-294655</t>
  </si>
  <si>
    <t>ZAAUTO2024-1-00329</t>
  </si>
  <si>
    <t>BOR-564915</t>
  </si>
  <si>
    <t>ZAAUTO2024-1-00350</t>
  </si>
  <si>
    <t>BOR-739135</t>
  </si>
  <si>
    <t>ZAAUTO2024-1-00063</t>
  </si>
  <si>
    <t>BOR-712401</t>
  </si>
  <si>
    <t>ZAAUTO2024-1-00135</t>
  </si>
  <si>
    <t>BOR-228074</t>
  </si>
  <si>
    <t>ZAAUTO2024-1-00159</t>
  </si>
  <si>
    <t>BOR-574978</t>
  </si>
  <si>
    <t>Baleno</t>
  </si>
  <si>
    <t>ZAAUTO2024-1-00438</t>
  </si>
  <si>
    <t>BOR-802374</t>
  </si>
  <si>
    <t>ZAAUTO2024-1-00478</t>
  </si>
  <si>
    <t>BOR-785511</t>
  </si>
  <si>
    <t>ZAAUTO2024-1-00479</t>
  </si>
  <si>
    <t>BOR-878651</t>
  </si>
  <si>
    <t>ZAAUTO2024-1-00044</t>
  </si>
  <si>
    <t>BOR-166165</t>
  </si>
  <si>
    <t>ZAAUTO2024-1-00144</t>
  </si>
  <si>
    <t>BOR-145594</t>
  </si>
  <si>
    <t>ZAAUTO2024-1-00378</t>
  </si>
  <si>
    <t>BOR-997065</t>
  </si>
  <si>
    <t>ZAAUTO2024-1-00058</t>
  </si>
  <si>
    <t>BOR-272529</t>
  </si>
  <si>
    <t>ZAAUTO2024-1-00231</t>
  </si>
  <si>
    <t>BOR-737363</t>
  </si>
  <si>
    <t>Swift</t>
  </si>
  <si>
    <t>ZAAUTO2024-1-00232</t>
  </si>
  <si>
    <t>BOR-879241</t>
  </si>
  <si>
    <t>ZAAUTO2024-1-00279</t>
  </si>
  <si>
    <t>BOR-274169</t>
  </si>
  <si>
    <t>ZAAUTO2024-1-00303</t>
  </si>
  <si>
    <t>BOR-815507</t>
  </si>
  <si>
    <t>ZAAUTO2024-1-00327</t>
  </si>
  <si>
    <t>BOR-979387</t>
  </si>
  <si>
    <t>ZAAUTO2024-1-00376</t>
  </si>
  <si>
    <t>BOR-286950</t>
  </si>
  <si>
    <t>ZAAUTO2024-1-00412</t>
  </si>
  <si>
    <t>BOR-390637</t>
  </si>
  <si>
    <t>ZAAUTO2024-1-00065</t>
  </si>
  <si>
    <t>BOR-525750</t>
  </si>
  <si>
    <t>ZAAUTO2024-1-00125</t>
  </si>
  <si>
    <t>BOR-686273</t>
  </si>
  <si>
    <t>ZAAUTO2024-1-00157</t>
  </si>
  <si>
    <t>BOR-775721</t>
  </si>
  <si>
    <t>ZAAUTO2024-1-00254</t>
  </si>
  <si>
    <t>BOR-449718</t>
  </si>
  <si>
    <t>ZAAUTO2024-1-00276</t>
  </si>
  <si>
    <t>BOR-265890</t>
  </si>
  <si>
    <t>ZAAUTO2024-1-00367</t>
  </si>
  <si>
    <t>BOR-624116</t>
  </si>
  <si>
    <t>ZAAUTO2024-1-00418</t>
  </si>
  <si>
    <t>BOR-895613</t>
  </si>
  <si>
    <t>ZAAUTO2024-1-00442</t>
  </si>
  <si>
    <t>BOR-709644</t>
  </si>
  <si>
    <t>ZAAUTO2024-1-00143</t>
  </si>
  <si>
    <t>BOR-563690</t>
  </si>
  <si>
    <t>ZAAUTO2024-1-00413</t>
  </si>
  <si>
    <t>BOR-707794</t>
  </si>
  <si>
    <t>ZAAUTO2024-1-00451</t>
  </si>
  <si>
    <t>BOR-651510</t>
  </si>
  <si>
    <t>ZAAUTO2024-1-00116</t>
  </si>
  <si>
    <t>BOR-446922</t>
  </si>
  <si>
    <t>Celerio</t>
  </si>
  <si>
    <t>ZAAUTO2024-1-00128</t>
  </si>
  <si>
    <t>BOR-479167</t>
  </si>
  <si>
    <t>ZAAUTO2024-1-00161</t>
  </si>
  <si>
    <t>BOR-733941</t>
  </si>
  <si>
    <t>Elevate</t>
  </si>
  <si>
    <t>ZAAUTO2024-1-00250</t>
  </si>
  <si>
    <t>BOR-857649</t>
  </si>
  <si>
    <t>ZAAUTO2024-1-00404</t>
  </si>
  <si>
    <t>BOR-186994</t>
  </si>
  <si>
    <t>ZAAUTO2024-1-00239</t>
  </si>
  <si>
    <t>BOR-589762</t>
  </si>
  <si>
    <t>ZAAUTO2024-1-00365</t>
  </si>
  <si>
    <t>BOR-473986</t>
  </si>
  <si>
    <t>ZAAUTO2024-1-00019</t>
  </si>
  <si>
    <t>BOR-446859</t>
  </si>
  <si>
    <t>ZAAUTO2024-1-00234</t>
  </si>
  <si>
    <t>BOR-997343</t>
  </si>
  <si>
    <t>ZAAUTO2024-1-00485</t>
  </si>
  <si>
    <t>BOR-717101</t>
  </si>
  <si>
    <t>ZAAUTO2024-1-00364</t>
  </si>
  <si>
    <t>BOR-890888</t>
  </si>
  <si>
    <t>ZAAUTO2024-1-00411</t>
  </si>
  <si>
    <t>BOR-677433</t>
  </si>
  <si>
    <t>ZAAUTO2024-1-00120</t>
  </si>
  <si>
    <t>BOR-637544</t>
  </si>
  <si>
    <t>ZAAUTO2024-1-00275</t>
  </si>
  <si>
    <t>BOR-470533</t>
  </si>
  <si>
    <t>ZAAUTO2024-1-00331</t>
  </si>
  <si>
    <t>BOR-386050</t>
  </si>
  <si>
    <t>ZAAUTO2024-1-00126</t>
  </si>
  <si>
    <t>BOR-431067</t>
  </si>
  <si>
    <t>ZAAUTO2024-1-00333</t>
  </si>
  <si>
    <t>BOR-631586</t>
  </si>
  <si>
    <t>ZAAUTO2024-1-00015</t>
  </si>
  <si>
    <t>BOR-938722</t>
  </si>
  <si>
    <t>ZAAUTO2024-1-00328</t>
  </si>
  <si>
    <t>BOR-198679</t>
  </si>
  <si>
    <t>ZAAUTO2024-1-00339</t>
  </si>
  <si>
    <t>BOR-733992</t>
  </si>
  <si>
    <t>Alto</t>
  </si>
  <si>
    <t>ZAAUTO2024-1-00014</t>
  </si>
  <si>
    <t>BOR-980660</t>
  </si>
  <si>
    <t>ZAAUTO2024-1-00166</t>
  </si>
  <si>
    <t>BOR-389809</t>
  </si>
  <si>
    <t>Aura</t>
  </si>
  <si>
    <t>ZAAUTO2024-1-00287</t>
  </si>
  <si>
    <t>BOR-306698</t>
  </si>
  <si>
    <t>ZAAUTO2024-1-00317</t>
  </si>
  <si>
    <t>BOR-880431</t>
  </si>
  <si>
    <t>ZAAUTO2024-1-00352</t>
  </si>
  <si>
    <t>BOR-714585</t>
  </si>
  <si>
    <t>ZAAUTO2024-1-00220</t>
  </si>
  <si>
    <t>BOR-302365</t>
  </si>
  <si>
    <t>ZAAUTO2024-1-00261</t>
  </si>
  <si>
    <t>BOR-634630</t>
  </si>
  <si>
    <t>ZAAUTO2024-1-00264</t>
  </si>
  <si>
    <t>BOR-406019</t>
  </si>
  <si>
    <t>ZAAUTO2024-1-00436</t>
  </si>
  <si>
    <t>BOR-313741</t>
  </si>
  <si>
    <t>ZAAUTO2024-1-00439</t>
  </si>
  <si>
    <t>BOR-368914</t>
  </si>
  <si>
    <t>Grand i10</t>
  </si>
  <si>
    <t>ZAAUTO2024-1-00448</t>
  </si>
  <si>
    <t>BOR-864670</t>
  </si>
  <si>
    <t>ZAAUTO2024-1-00039</t>
  </si>
  <si>
    <t>BOR-450905</t>
  </si>
  <si>
    <t>ZAAUTO2024-1-00113</t>
  </si>
  <si>
    <t>BOR-436526</t>
  </si>
  <si>
    <t>ZAAUTO2024-1-00180</t>
  </si>
  <si>
    <t>BOR-548413</t>
  </si>
  <si>
    <t>ZAAUTO2024-1-00214</t>
  </si>
  <si>
    <t>BOR-718265</t>
  </si>
  <si>
    <t>ZAAUTO2024-1-00054</t>
  </si>
  <si>
    <t>BOR-958130</t>
  </si>
  <si>
    <t>ZAAUTO2024-1-00024</t>
  </si>
  <si>
    <t>BOR-972565</t>
  </si>
  <si>
    <t>ZAAUTO2024-1-00434</t>
  </si>
  <si>
    <t>BOR-743047</t>
  </si>
  <si>
    <t>ZAAUTO2024-1-00004</t>
  </si>
  <si>
    <t>BOR-855731</t>
  </si>
  <si>
    <t>ZAAUTO2024-1-00104</t>
  </si>
  <si>
    <t>BOR-858724</t>
  </si>
  <si>
    <t>ZAAUTO2024-1-00061</t>
  </si>
  <si>
    <t>BOR-461145</t>
  </si>
  <si>
    <t>ZAAUTO2024-1-00432</t>
  </si>
  <si>
    <t>BOR-178011</t>
  </si>
  <si>
    <t>ZAAUTO2024-1-00211</t>
  </si>
  <si>
    <t>BOR-831351</t>
  </si>
  <si>
    <t>ZAAUTO2024-1-00420</t>
  </si>
  <si>
    <t>BOR-197716</t>
  </si>
  <si>
    <t>ZAAUTO2024-1-00123</t>
  </si>
  <si>
    <t>BOR-605904</t>
  </si>
  <si>
    <t>ZAAUTO2024-1-00228</t>
  </si>
  <si>
    <t>BOR-312861</t>
  </si>
  <si>
    <t>ZAAUTO2024-1-00475</t>
  </si>
  <si>
    <t>BOR-356399</t>
  </si>
  <si>
    <t>ZAAUTO2024-1-00028</t>
  </si>
  <si>
    <t>BOR-362801</t>
  </si>
  <si>
    <t>ZAAUTO2024-1-00156</t>
  </si>
  <si>
    <t>BOR-838568</t>
  </si>
  <si>
    <t>ZAAUTO2024-1-00391</t>
  </si>
  <si>
    <t>BOR-113597</t>
  </si>
  <si>
    <t>ZAAUTO2024-1-00429</t>
  </si>
  <si>
    <t>BOR-314007</t>
  </si>
  <si>
    <t>ZAAUTO2024-1-00437</t>
  </si>
  <si>
    <t>BOR-367188</t>
  </si>
  <si>
    <t>ZAAUTO2024-1-00140</t>
  </si>
  <si>
    <t>BOR-416503</t>
  </si>
  <si>
    <t>ZAAUTO2024-1-00165</t>
  </si>
  <si>
    <t>BOR-304394</t>
  </si>
  <si>
    <t>ZAAUTO2024-1-00244</t>
  </si>
  <si>
    <t>BOR-550314</t>
  </si>
  <si>
    <t>ZAAUTO2024-1-00431</t>
  </si>
  <si>
    <t>BOR-796862</t>
  </si>
  <si>
    <t>ZAAUTO2024-1-00444</t>
  </si>
  <si>
    <t>BOR-734252</t>
  </si>
  <si>
    <t>ZAAUTO2024-1-00289</t>
  </si>
  <si>
    <t>BOR-244455</t>
  </si>
  <si>
    <t>ZAAUTO2024-1-00023</t>
  </si>
  <si>
    <t>BOR-402218</t>
  </si>
  <si>
    <t>ZAAUTO2024-1-00149</t>
  </si>
  <si>
    <t>BOR-847251</t>
  </si>
  <si>
    <t>ZAAUTO2024-1-00249</t>
  </si>
  <si>
    <t>BOR-396080</t>
  </si>
  <si>
    <t>ZAAUTO2024-1-00172</t>
  </si>
  <si>
    <t>BOR-346729</t>
  </si>
  <si>
    <t>ZAAUTO2024-1-00186</t>
  </si>
  <si>
    <t>BOR-619900</t>
  </si>
  <si>
    <t>ZAAUTO2024-1-00190</t>
  </si>
  <si>
    <t>BOR-168681</t>
  </si>
  <si>
    <t>ZAAUTO2024-1-00311</t>
  </si>
  <si>
    <t>BOR-631562</t>
  </si>
  <si>
    <t>ZAAUTO2024-1-00052</t>
  </si>
  <si>
    <t>BOR-613641</t>
  </si>
  <si>
    <t>ZAAUTO2024-1-00162</t>
  </si>
  <si>
    <t>BOR-576089</t>
  </si>
  <si>
    <t>ZAAUTO2024-1-00347</t>
  </si>
  <si>
    <t>BOR-481220</t>
  </si>
  <si>
    <t>ZAAUTO2024-1-00229</t>
  </si>
  <si>
    <t>BOR-203189</t>
  </si>
  <si>
    <t>ZAAUTO2024-1-00153</t>
  </si>
  <si>
    <t>BOR-745915</t>
  </si>
  <si>
    <t>ZAAUTO2024-1-00395</t>
  </si>
  <si>
    <t>BOR-848529</t>
  </si>
  <si>
    <t>ZAAUTO2024-1-00409</t>
  </si>
  <si>
    <t>BOR-390863</t>
  </si>
  <si>
    <t>ZAAUTO2024-1-00466</t>
  </si>
  <si>
    <t>BOR-393178</t>
  </si>
  <si>
    <t>ZAAUTO2024-1-00119</t>
  </si>
  <si>
    <t>BOR-333726</t>
  </si>
  <si>
    <t>ZAAUTO2024-1-00284</t>
  </si>
  <si>
    <t>BOR-761875</t>
  </si>
  <si>
    <t>ZAAUTO2024-1-00295</t>
  </si>
  <si>
    <t>BOR-228934</t>
  </si>
  <si>
    <t>ZAAUTO2024-1-00079</t>
  </si>
  <si>
    <t>BOR-171734</t>
  </si>
  <si>
    <t>ZAAUTO2024-1-00314</t>
  </si>
  <si>
    <t>BOR-176561</t>
  </si>
  <si>
    <t>Brezza</t>
  </si>
  <si>
    <t>ZAAUTO2024-1-00368</t>
  </si>
  <si>
    <t>BOR-727016</t>
  </si>
  <si>
    <t>ZAAUTO2024-1-00372</t>
  </si>
  <si>
    <t>BOR-988422</t>
  </si>
  <si>
    <t>ZAAUTO2024-1-00401</t>
  </si>
  <si>
    <t>BOR-552682</t>
  </si>
  <si>
    <t>ZAAUTO2024-1-00480</t>
  </si>
  <si>
    <t>BOR-235064</t>
  </si>
  <si>
    <t>ZAAUTO2024-1-00241</t>
  </si>
  <si>
    <t>BOR-465511</t>
  </si>
  <si>
    <t>ZAAUTO2024-1-00337</t>
  </si>
  <si>
    <t>BOR-613405</t>
  </si>
  <si>
    <t>ZAAUTO2024-1-00416</t>
  </si>
  <si>
    <t>BOR-659890</t>
  </si>
  <si>
    <t>ZAAUTO2024-1-00147</t>
  </si>
  <si>
    <t>BOR-599753</t>
  </si>
  <si>
    <t>ZAAUTO2024-1-00257</t>
  </si>
  <si>
    <t>BOR-153379</t>
  </si>
  <si>
    <t>ZAAUTO2024-1-00070</t>
  </si>
  <si>
    <t>BOR-417543</t>
  </si>
  <si>
    <t>ZAAUTO2024-1-00136</t>
  </si>
  <si>
    <t>BOR-944654</t>
  </si>
  <si>
    <t>ZAAUTO2024-1-00301</t>
  </si>
  <si>
    <t>BOR-417645</t>
  </si>
  <si>
    <t>ZAAUTO2024-1-00321</t>
  </si>
  <si>
    <t>BOR-359322</t>
  </si>
  <si>
    <t>ZAAUTO2024-1-00386</t>
  </si>
  <si>
    <t>BOR-498476</t>
  </si>
  <si>
    <t>ZAAUTO2024-1-00247</t>
  </si>
  <si>
    <t>BOR-297296</t>
  </si>
  <si>
    <t>ZAAUTO2024-1-00320</t>
  </si>
  <si>
    <t>BOR-445698</t>
  </si>
  <si>
    <t>ZAAUTO2024-1-00013</t>
  </si>
  <si>
    <t>BOR-577538</t>
  </si>
  <si>
    <t>ZAAUTO2024-1-00269</t>
  </si>
  <si>
    <t>BOR-194840</t>
  </si>
  <si>
    <t>ZAAUTO2024-1-00300</t>
  </si>
  <si>
    <t>BOR-129329</t>
  </si>
  <si>
    <t>ZAAUTO2024-1-00380</t>
  </si>
  <si>
    <t>BOR-208834</t>
  </si>
  <si>
    <t>ZAAUTO2024-1-00403</t>
  </si>
  <si>
    <t>BOR-474880</t>
  </si>
  <si>
    <t>ZAAUTO2024-1-00108</t>
  </si>
  <si>
    <t>BOR-529088</t>
  </si>
  <si>
    <t>ZAAUTO2024-1-00003</t>
  </si>
  <si>
    <t>BOR-694731</t>
  </si>
  <si>
    <t>ZAAUTO2024-1-00046</t>
  </si>
  <si>
    <t>BOR-900152</t>
  </si>
  <si>
    <t>ZAAUTO2024-1-00069</t>
  </si>
  <si>
    <t>BOR-829066</t>
  </si>
  <si>
    <t>ZAAUTO2024-1-00060</t>
  </si>
  <si>
    <t>BOR-837449</t>
  </si>
  <si>
    <t>ZAAUTO2024-1-00142</t>
  </si>
  <si>
    <t>BOR-151706</t>
  </si>
  <si>
    <t>ZAAUTO2024-1-00457</t>
  </si>
  <si>
    <t>BOR-886874</t>
  </si>
  <si>
    <t>ZAAUTO2024-1-00057</t>
  </si>
  <si>
    <t>BOR-165142</t>
  </si>
  <si>
    <t>ZAAUTO2024-1-00204</t>
  </si>
  <si>
    <t>BOR-924366</t>
  </si>
  <si>
    <t>ZAAUTO2024-1-00281</t>
  </si>
  <si>
    <t>BOR-790677</t>
  </si>
  <si>
    <t>ZAAUTO2024-1-00481</t>
  </si>
  <si>
    <t>BOR-126891</t>
  </si>
  <si>
    <t>ZAAUTO2024-1-00489</t>
  </si>
  <si>
    <t>BOR-623957</t>
  </si>
  <si>
    <t>ZAAUTO2024-1-00045</t>
  </si>
  <si>
    <t>BOR-183958</t>
  </si>
  <si>
    <t>ZAAUTO2024-1-00158</t>
  </si>
  <si>
    <t>BOR-502460</t>
  </si>
  <si>
    <t>ZAAUTO2024-1-00277</t>
  </si>
  <si>
    <t>BOR-730275</t>
  </si>
  <si>
    <t>ZAAUTO2024-1-00305</t>
  </si>
  <si>
    <t>BOR-137329</t>
  </si>
  <si>
    <t>ZAAUTO2024-1-00408</t>
  </si>
  <si>
    <t>BOR-336288</t>
  </si>
  <si>
    <t>ZAAUTO2024-1-00455</t>
  </si>
  <si>
    <t>BOR-946282</t>
  </si>
  <si>
    <t>ZAAUTO2024-1-00141</t>
  </si>
  <si>
    <t>BOR-500080</t>
  </si>
  <si>
    <t>ZAAUTO2024-1-00425</t>
  </si>
  <si>
    <t>BOR-396196</t>
  </si>
  <si>
    <t>ZAAUTO2024-1-00441</t>
  </si>
  <si>
    <t>BOR-322072</t>
  </si>
  <si>
    <t>ZAAUTO2024-1-00213</t>
  </si>
  <si>
    <t>BOR-513959</t>
  </si>
  <si>
    <t>ZAAUTO2024-1-00486</t>
  </si>
  <si>
    <t>BOR-334546</t>
  </si>
  <si>
    <t>ZAAUTO2024-1-00195</t>
  </si>
  <si>
    <t>BOR-769986</t>
  </si>
  <si>
    <t>ZAAUTO2024-1-00313</t>
  </si>
  <si>
    <t>BOR-630205</t>
  </si>
  <si>
    <t>ZAAUTO2024-1-00483</t>
  </si>
  <si>
    <t>BOR-670816</t>
  </si>
  <si>
    <t>ZAAUTO2024-1-00345</t>
  </si>
  <si>
    <t>BOR-459077</t>
  </si>
  <si>
    <t>ZAAUTO2024-1-00470</t>
  </si>
  <si>
    <t>BOR-910471</t>
  </si>
  <si>
    <t>ZAAUTO2024-1-00098</t>
  </si>
  <si>
    <t>BOR-388755</t>
  </si>
  <si>
    <t>ZAAUTO2024-1-00387</t>
  </si>
  <si>
    <t>BOR-457705</t>
  </si>
  <si>
    <t>ZAAUTO2024-1-00038</t>
  </si>
  <si>
    <t>BOR-401022</t>
  </si>
  <si>
    <t>ZAAUTO2024-1-00342</t>
  </si>
  <si>
    <t>BOR-519487</t>
  </si>
  <si>
    <t>ZAAUTO2024-1-00085</t>
  </si>
  <si>
    <t>BOR-907557</t>
  </si>
  <si>
    <t>ZAAUTO2024-1-00354</t>
  </si>
  <si>
    <t>BOR-300160</t>
  </si>
  <si>
    <t>ZAAUTO2024-1-00042</t>
  </si>
  <si>
    <t>BOR-929822</t>
  </si>
  <si>
    <t>ZAAUTO2024-1-00271</t>
  </si>
  <si>
    <t>BOR-953238</t>
  </si>
  <si>
    <t>ZAAUTO2024-1-00392</t>
  </si>
  <si>
    <t>BOR-721632</t>
  </si>
  <si>
    <t>ZAAUTO2024-1-00414</t>
  </si>
  <si>
    <t>BOR-387458</t>
  </si>
  <si>
    <t>ZAAUTO2024-1-00005</t>
  </si>
  <si>
    <t>BOR-897549</t>
  </si>
  <si>
    <t>ZAAUTO2024-1-00006</t>
  </si>
  <si>
    <t>BOR-698782</t>
  </si>
  <si>
    <t>ZAAUTO2024-1-00033</t>
  </si>
  <si>
    <t>BOR-547494</t>
  </si>
  <si>
    <t>ZAAUTO2024-1-00097</t>
  </si>
  <si>
    <t>BOR-132047</t>
  </si>
  <si>
    <t>ZAAUTO2024-1-00160</t>
  </si>
  <si>
    <t>BOR-556329</t>
  </si>
  <si>
    <t>ZAAUTO2024-1-00222</t>
  </si>
  <si>
    <t>BOR-125190</t>
  </si>
  <si>
    <t>ZAAUTO2024-1-00406</t>
  </si>
  <si>
    <t>BOR-842820</t>
  </si>
  <si>
    <t>ZAAUTO2024-1-00248</t>
  </si>
  <si>
    <t>BOR-822049</t>
  </si>
  <si>
    <t>ZAAUTO2024-1-00007</t>
  </si>
  <si>
    <t>BOR-890170</t>
  </si>
  <si>
    <t>ZAAUTO2024-1-00106</t>
  </si>
  <si>
    <t>BOR-454733</t>
  </si>
  <si>
    <t>ZAAUTO2024-1-00240</t>
  </si>
  <si>
    <t>BOR-575637</t>
  </si>
  <si>
    <t>ZAAUTO2024-1-00468</t>
  </si>
  <si>
    <t>BOR-808236</t>
  </si>
  <si>
    <t>ZAAUTO2024-1-00245</t>
  </si>
  <si>
    <t>BOR-147976</t>
  </si>
  <si>
    <t>ZAAUTO2024-1-00074</t>
  </si>
  <si>
    <t>BOR-502594</t>
  </si>
  <si>
    <t>ZAAUTO2024-1-00102</t>
  </si>
  <si>
    <t>BOR-454245</t>
  </si>
  <si>
    <t>ZAAUTO2024-1-00216</t>
  </si>
  <si>
    <t>BOR-736333</t>
  </si>
  <si>
    <t>ZAAUTO2024-1-00473</t>
  </si>
  <si>
    <t>BOR-874159</t>
  </si>
  <si>
    <t>ZAAUTO2024-1-00047</t>
  </si>
  <si>
    <t>BOR-227257</t>
  </si>
  <si>
    <t>ZAAUTO2024-1-00077</t>
  </si>
  <si>
    <t>BOR-517035</t>
  </si>
  <si>
    <t>ZAAUTO2024-1-00080</t>
  </si>
  <si>
    <t>BOR-350967</t>
  </si>
  <si>
    <t>ZAAUTO2024-1-00152</t>
  </si>
  <si>
    <t>BOR-372273</t>
  </si>
  <si>
    <t>ZAAUTO2024-1-00209</t>
  </si>
  <si>
    <t>BOR-264660</t>
  </si>
  <si>
    <t>ZAAUTO2024-1-00322</t>
  </si>
  <si>
    <t>BOR-837022</t>
  </si>
  <si>
    <t>ZAAUTO2024-1-00274</t>
  </si>
  <si>
    <t>BOR-785999</t>
  </si>
  <si>
    <t>ZAAUTO2024-1-00491</t>
  </si>
  <si>
    <t>BOR-927687</t>
  </si>
  <si>
    <t>ZAAUTO2024-1-00064</t>
  </si>
  <si>
    <t>BOR-342675</t>
  </si>
  <si>
    <t>ZAAUTO2024-1-00121</t>
  </si>
  <si>
    <t>BOR-213844</t>
  </si>
  <si>
    <t>ZAAUTO2024-1-00371</t>
  </si>
  <si>
    <t>BOR-419460</t>
  </si>
  <si>
    <t>ZAAUTO2024-1-00050</t>
  </si>
  <si>
    <t>BOR-267457</t>
  </si>
  <si>
    <t>ZAAUTO2024-1-00167</t>
  </si>
  <si>
    <t>BOR-834061</t>
  </si>
  <si>
    <t>ZAAUTO2024-1-00359</t>
  </si>
  <si>
    <t>BOR-993353</t>
  </si>
  <si>
    <t>ZAAUTO2024-1-00346</t>
  </si>
  <si>
    <t>BOR-112652</t>
  </si>
  <si>
    <t>ZAAUTO2024-1-00369</t>
  </si>
  <si>
    <t>BOR-560272</t>
  </si>
  <si>
    <t>ZAAUTO2024-1-00476</t>
  </si>
  <si>
    <t>BOR-324643</t>
  </si>
  <si>
    <t>ZAAUTO2024-1-00110</t>
  </si>
  <si>
    <t>BOR-659837</t>
  </si>
  <si>
    <t>ZAAUTO2024-1-00124</t>
  </si>
  <si>
    <t>BOR-859687</t>
  </si>
  <si>
    <t>ZAAUTO2024-1-00155</t>
  </si>
  <si>
    <t>BOR-859767</t>
  </si>
  <si>
    <t>ZAAUTO2024-1-00177</t>
  </si>
  <si>
    <t>BOR-405677</t>
  </si>
  <si>
    <t>ZAAUTO2024-1-00430</t>
  </si>
  <si>
    <t>BOR-119112</t>
  </si>
  <si>
    <t>ZAAUTO2024-1-00089</t>
  </si>
  <si>
    <t>BOR-139807</t>
  </si>
  <si>
    <t>ZAAUTO2024-1-00266</t>
  </si>
  <si>
    <t>BOR-357167</t>
  </si>
  <si>
    <t>ZAAUTO2024-1-00297</t>
  </si>
  <si>
    <t>BOR-292279</t>
  </si>
  <si>
    <t>ZAAUTO2024-1-00407</t>
  </si>
  <si>
    <t>BOR-111737</t>
  </si>
  <si>
    <t>ZAAUTO2024-1-00268</t>
  </si>
  <si>
    <t>BOR-188923</t>
  </si>
  <si>
    <t>ZAAUTO2024-1-00362</t>
  </si>
  <si>
    <t>BOR-939133</t>
  </si>
  <si>
    <t>ZAAUTO2024-1-00445</t>
  </si>
  <si>
    <t>BOR-767594</t>
  </si>
  <si>
    <t>ZAAUTO2024-1-00176</t>
  </si>
  <si>
    <t>BOR-609845</t>
  </si>
  <si>
    <t>ZAAUTO2024-1-00349</t>
  </si>
  <si>
    <t>BOR-606755</t>
  </si>
  <si>
    <t>ZAAUTO2024-1-00011</t>
  </si>
  <si>
    <t>BOR-910891</t>
  </si>
  <si>
    <t>ZAAUTO2024-1-00029</t>
  </si>
  <si>
    <t>BOR-483542</t>
  </si>
  <si>
    <t>ZAAUTO2024-1-00137</t>
  </si>
  <si>
    <t>BOR-750324</t>
  </si>
  <si>
    <t>ZAAUTO2024-1-00348</t>
  </si>
  <si>
    <t>BOR-338641</t>
  </si>
  <si>
    <t>ZAAUTO2024-1-00150</t>
  </si>
  <si>
    <t>BOR-902575</t>
  </si>
  <si>
    <t>ZAAUTO2024-1-00462</t>
  </si>
  <si>
    <t>BOR-700231</t>
  </si>
  <si>
    <t>ZAAUTO2024-1-00107</t>
  </si>
  <si>
    <t>BOR-785111</t>
  </si>
  <si>
    <t>ZAAUTO2024-1-00112</t>
  </si>
  <si>
    <t>BOR-745512</t>
  </si>
  <si>
    <t>ZAAUTO2024-1-00324</t>
  </si>
  <si>
    <t>BOR-650071</t>
  </si>
  <si>
    <t>ZAAUTO2024-1-00170</t>
  </si>
  <si>
    <t>BOR-894348</t>
  </si>
  <si>
    <t>ZAAUTO2024-1-00464</t>
  </si>
  <si>
    <t>BOR-236302</t>
  </si>
  <si>
    <t>ZAAUTO2024-1-00493</t>
  </si>
  <si>
    <t>BOR-864921</t>
  </si>
  <si>
    <t>ZAAUTO2024-1-00114</t>
  </si>
  <si>
    <t>BOR-176806</t>
  </si>
  <si>
    <t>ZAAUTO2024-1-00146</t>
  </si>
  <si>
    <t>BOR-907455</t>
  </si>
  <si>
    <t>ZAAUTO2024-1-00174</t>
  </si>
  <si>
    <t>BOR-202759</t>
  </si>
  <si>
    <t>ZAAUTO2024-1-00034</t>
  </si>
  <si>
    <t>BOR-220465</t>
  </si>
  <si>
    <t>ZAAUTO2024-1-00053</t>
  </si>
  <si>
    <t>BOR-594514</t>
  </si>
  <si>
    <t>ZAAUTO2024-1-00129</t>
  </si>
  <si>
    <t>BOR-990649</t>
  </si>
  <si>
    <t>ZAAUTO2024-1-00375</t>
  </si>
  <si>
    <t>BOR-614290</t>
  </si>
  <si>
    <t>ZAAUTO2024-1-00118</t>
  </si>
  <si>
    <t>BOR-247189</t>
  </si>
  <si>
    <t>ZAAUTO2024-1-00298</t>
  </si>
  <si>
    <t>BOR-383298</t>
  </si>
  <si>
    <t>ZAAUTO2024-1-00357</t>
  </si>
  <si>
    <t>BOR-865071</t>
  </si>
  <si>
    <t>ZAAUTO2024-1-00482</t>
  </si>
  <si>
    <t>BOR-117679</t>
  </si>
  <si>
    <t>ZAAUTO2024-1-00066</t>
  </si>
  <si>
    <t>BOR-888795</t>
  </si>
  <si>
    <t>ZAAUTO2024-1-00094</t>
  </si>
  <si>
    <t>BOR-182790</t>
  </si>
  <si>
    <t>ZAAUTO2024-1-00463</t>
  </si>
  <si>
    <t>BOR-176401</t>
  </si>
  <si>
    <t>ZAAUTO2024-1-00082</t>
  </si>
  <si>
    <t>BOR-946313</t>
  </si>
  <si>
    <t>ZAAUTO2024-1-00388</t>
  </si>
  <si>
    <t>BOR-307324</t>
  </si>
  <si>
    <t>ZAAUTO2024-1-00465</t>
  </si>
  <si>
    <t>BOR-503150</t>
  </si>
  <si>
    <t>ZAAUTO2024-1-00212</t>
  </si>
  <si>
    <t>BOR-575159</t>
  </si>
  <si>
    <t>ZAAUTO2024-1-00310</t>
  </si>
  <si>
    <t>BOR-768722</t>
  </si>
  <si>
    <t>ZAAUTO2024-1-00495</t>
  </si>
  <si>
    <t>BOR-722977</t>
  </si>
  <si>
    <t>ZAAUTO2024-1-00008</t>
  </si>
  <si>
    <t>BOR-358175</t>
  </si>
  <si>
    <t>ZAAUTO2024-1-00181</t>
  </si>
  <si>
    <t>BOR-680771</t>
  </si>
  <si>
    <t>ZAAUTO2024-1-00031</t>
  </si>
  <si>
    <t>BOR-692002</t>
  </si>
  <si>
    <t>ZAAUTO2024-1-00217</t>
  </si>
  <si>
    <t>BOR-967949</t>
  </si>
  <si>
    <t>ZAAUTO2024-1-00315</t>
  </si>
  <si>
    <t>BOR-575557</t>
  </si>
  <si>
    <t>ZAAUTO2024-1-00394</t>
  </si>
  <si>
    <t>BOR-389353</t>
  </si>
  <si>
    <t>ZAAUTO2024-1-00427</t>
  </si>
  <si>
    <t>BOR-866793</t>
  </si>
  <si>
    <t>ZAAUTO2024-1-00187</t>
  </si>
  <si>
    <t>BOR-276919</t>
  </si>
  <si>
    <t>ZAAUTO2024-1-00398</t>
  </si>
  <si>
    <t>BOR-890478</t>
  </si>
  <si>
    <t>ZAAUTO2024-1-00484</t>
  </si>
  <si>
    <t>BOR-465883</t>
  </si>
  <si>
    <t>ZAAUTO2024-1-00022</t>
  </si>
  <si>
    <t>BOR-522060</t>
  </si>
  <si>
    <t>ZAAUTO2024-1-00219</t>
  </si>
  <si>
    <t>BOR-386275</t>
  </si>
  <si>
    <t>ZAAUTO2024-1-00223</t>
  </si>
  <si>
    <t>BOR-521195</t>
  </si>
  <si>
    <t>ZAAUTO2024-1-00494</t>
  </si>
  <si>
    <t>BOR-428786</t>
  </si>
  <si>
    <t>ZAAUTO2024-1-00001</t>
  </si>
  <si>
    <t>BOR-131244</t>
  </si>
  <si>
    <t>ZAAUTO2024-1-00397</t>
  </si>
  <si>
    <t>BOR-224956</t>
  </si>
  <si>
    <t>ZAAUTO2024-1-00109</t>
  </si>
  <si>
    <t>BOR-437477</t>
  </si>
  <si>
    <t>ZAAUTO2024-1-00051</t>
  </si>
  <si>
    <t>BOR-901535</t>
  </si>
  <si>
    <t>ZAAUTO2024-1-00133</t>
  </si>
  <si>
    <t>BOR-183057</t>
  </si>
  <si>
    <t>ZAAUTO2024-1-00318</t>
  </si>
  <si>
    <t>BOR-641386</t>
  </si>
  <si>
    <t>ZAAUTO2024-1-00415</t>
  </si>
  <si>
    <t>BOR-897662</t>
  </si>
  <si>
    <t>ZAAUTO2024-1-00035</t>
  </si>
  <si>
    <t>BOR-189083</t>
  </si>
  <si>
    <t>ZAAUTO2024-1-00040</t>
  </si>
  <si>
    <t>BOR-410160</t>
  </si>
  <si>
    <t>ZAAUTO2024-1-00087</t>
  </si>
  <si>
    <t>BOR-393448</t>
  </si>
  <si>
    <t>ZAAUTO2024-1-00111</t>
  </si>
  <si>
    <t>BOR-818430</t>
  </si>
  <si>
    <t>ZAAUTO2024-1-00169</t>
  </si>
  <si>
    <t>BOR-785592</t>
  </si>
  <si>
    <t>ZAAUTO2024-1-00171</t>
  </si>
  <si>
    <t>BOR-347085</t>
  </si>
  <si>
    <t>ZAAUTO2024-1-00218</t>
  </si>
  <si>
    <t>BOR-682119</t>
  </si>
  <si>
    <t>ZAAUTO2024-1-00233</t>
  </si>
  <si>
    <t>BOR-991125</t>
  </si>
  <si>
    <t>ZAAUTO2024-1-00283</t>
  </si>
  <si>
    <t>BOR-496473</t>
  </si>
  <si>
    <t>ZAAUTO2024-1-00366</t>
  </si>
  <si>
    <t>BOR-993631</t>
  </si>
  <si>
    <t>ZAAUTO2024-1-00419</t>
  </si>
  <si>
    <t>BOR-845647</t>
  </si>
  <si>
    <t>ZAAUTO2024-1-00100</t>
  </si>
  <si>
    <t>BOR-586288</t>
  </si>
  <si>
    <t>ZAAUTO2024-1-00235</t>
  </si>
  <si>
    <t>BOR-658155</t>
  </si>
  <si>
    <t>ZAAUTO2024-1-00173</t>
  </si>
  <si>
    <t>BOR-409499</t>
  </si>
  <si>
    <t>ZAAUTO2024-1-00338</t>
  </si>
  <si>
    <t>BOR-442452</t>
  </si>
  <si>
    <t>ZAAUTO2024-1-00471</t>
  </si>
  <si>
    <t>BOR-106561</t>
  </si>
  <si>
    <t>ZAAUTO2024-1-00472</t>
  </si>
  <si>
    <t>BOR-623852</t>
  </si>
  <si>
    <t>ZAAUTO2024-1-00196</t>
  </si>
  <si>
    <t>BOR-128679</t>
  </si>
  <si>
    <t>ZAAUTO2024-1-00379</t>
  </si>
  <si>
    <t>BOR-284055</t>
  </si>
  <si>
    <t>ZAAUTO2024-1-00203</t>
  </si>
  <si>
    <t>BOR-335122</t>
  </si>
  <si>
    <t>ZAAUTO2024-1-00393</t>
  </si>
  <si>
    <t>BOR-429429</t>
  </si>
  <si>
    <t>ZAAUTO2024-1-00016</t>
  </si>
  <si>
    <t>BOR-120324</t>
  </si>
  <si>
    <t>ZAAUTO2024-1-00081</t>
  </si>
  <si>
    <t>BOR-947312</t>
  </si>
  <si>
    <t>ZAAUTO2024-1-00224</t>
  </si>
  <si>
    <t>BOR-233882</t>
  </si>
  <si>
    <t>ZAAUTO2024-1-00253</t>
  </si>
  <si>
    <t>BOR-864521</t>
  </si>
  <si>
    <t>ZAAUTO2024-1-00312</t>
  </si>
  <si>
    <t>BOR-788976</t>
  </si>
  <si>
    <t>ZAAUTO2024-1-00265</t>
  </si>
  <si>
    <t>BOR-918427</t>
  </si>
  <si>
    <t>ZAAUTO2024-1-00336</t>
  </si>
  <si>
    <t>BOR-631597</t>
  </si>
  <si>
    <t>ZAAUTO2024-1-00377</t>
  </si>
  <si>
    <t>BOR-756608</t>
  </si>
  <si>
    <t>ZAAUTO2024-1-00072</t>
  </si>
  <si>
    <t>BOR-343118</t>
  </si>
  <si>
    <t>ZAAUTO2024-1-00252</t>
  </si>
  <si>
    <t>BOR-670873</t>
  </si>
  <si>
    <t>ZAAUTO2024-1-00308</t>
  </si>
  <si>
    <t>BOR-503348</t>
  </si>
  <si>
    <t>ZAAUTO2024-1-00490</t>
  </si>
  <si>
    <t>BOR-495718</t>
  </si>
  <si>
    <t>ZAAUTO2024-1-00059</t>
  </si>
  <si>
    <t>BOR-570325</t>
  </si>
  <si>
    <t>ZAAUTO2024-1-00093</t>
  </si>
  <si>
    <t>BOR-596574</t>
  </si>
  <si>
    <t>ZAAUTO2024-1-00422</t>
  </si>
  <si>
    <t>BOR-447302</t>
  </si>
  <si>
    <t>ZAAUTO2024-1-00487</t>
  </si>
  <si>
    <t>BOR-376943</t>
  </si>
  <si>
    <t>ZAAUTO2024-1-00012</t>
  </si>
  <si>
    <t>BOR-831076</t>
  </si>
  <si>
    <t>ZAAUTO2024-1-00440</t>
  </si>
  <si>
    <t>BOR-272275</t>
  </si>
  <si>
    <t>ZAAUTO2024-1-00073</t>
  </si>
  <si>
    <t>BOR-464825</t>
  </si>
  <si>
    <t>ZAAUTO2024-1-00027</t>
  </si>
  <si>
    <t>BOR-367729</t>
  </si>
  <si>
    <t>ZAAUTO2024-1-00115</t>
  </si>
  <si>
    <t>BOR-990731</t>
  </si>
  <si>
    <t>ZAAUTO2024-1-00201</t>
  </si>
  <si>
    <t>BOR-536646</t>
  </si>
  <si>
    <t>ZAAUTO2024-1-00399</t>
  </si>
  <si>
    <t>BOR-939444</t>
  </si>
  <si>
    <t>ZAAUTO2024-1-00026</t>
  </si>
  <si>
    <t>BOR-896290</t>
  </si>
  <si>
    <t>ZAAUTO2024-1-00049</t>
  </si>
  <si>
    <t>BOR-773088</t>
  </si>
  <si>
    <t>ZAAUTO2024-1-00189</t>
  </si>
  <si>
    <t>BOR-611133</t>
  </si>
  <si>
    <t>ZAAUTO2024-1-00294</t>
  </si>
  <si>
    <t>BOR-642985</t>
  </si>
  <si>
    <t>ZAAUTO2024-1-00237</t>
  </si>
  <si>
    <t>BOR-827418</t>
  </si>
  <si>
    <t>ZAAUTO2024-1-00323</t>
  </si>
  <si>
    <t>BOR-531865</t>
  </si>
  <si>
    <t>ZAAUTO2024-1-00410</t>
  </si>
  <si>
    <t>BOR-802215</t>
  </si>
  <si>
    <t>ZAAUTO2024-1-00278</t>
  </si>
  <si>
    <t>BOR-921934</t>
  </si>
  <si>
    <t>ZAAUTO2024-1-00263</t>
  </si>
  <si>
    <t>BOR-929303</t>
  </si>
  <si>
    <t>ZAAUTO2024-1-00304</t>
  </si>
  <si>
    <t>BOR-994640</t>
  </si>
  <si>
    <t>ZAAUTO2024-1-00330</t>
  </si>
  <si>
    <t>BOR-223432</t>
  </si>
  <si>
    <t>ZAAUTO2024-1-00340</t>
  </si>
  <si>
    <t>BOR-259151</t>
  </si>
  <si>
    <t>ZAAUTO2024-1-00197</t>
  </si>
  <si>
    <t>BOR-778540</t>
  </si>
  <si>
    <t>ZAAUTO2024-1-00292</t>
  </si>
  <si>
    <t>BOR-350365</t>
  </si>
  <si>
    <t>ZAAUTO2024-1-00424</t>
  </si>
  <si>
    <t>BOR-735612</t>
  </si>
  <si>
    <t>ZAAUTO2024-1-00492</t>
  </si>
  <si>
    <t>BOR-366875</t>
  </si>
  <si>
    <t>ZAAUTO2024-1-00154</t>
  </si>
  <si>
    <t>BOR-508489</t>
  </si>
  <si>
    <t>ZAAUTO2024-1-00307</t>
  </si>
  <si>
    <t>BOR-831666</t>
  </si>
  <si>
    <t>ZAAUTO2024-1-00381</t>
  </si>
  <si>
    <t>BOR-121954</t>
  </si>
  <si>
    <t>ZAAUTO2024-1-00207</t>
  </si>
  <si>
    <t>BOR-330374</t>
  </si>
  <si>
    <t>ZAAUTO2024-1-00285</t>
  </si>
  <si>
    <t>BOR-302432</t>
  </si>
  <si>
    <t>ZAAUTO2024-1-00306</t>
  </si>
  <si>
    <t>BOR-883785</t>
  </si>
  <si>
    <t>ZAAUTO2024-1-00078</t>
  </si>
  <si>
    <t>BOR-273565</t>
  </si>
  <si>
    <t>ZAAUTO2024-1-00417</t>
  </si>
  <si>
    <t>BOR-937642</t>
  </si>
  <si>
    <t>ZAAUTO2024-1-00030</t>
  </si>
  <si>
    <t>BOR-575679</t>
  </si>
  <si>
    <t>ZAAUTO2024-1-00192</t>
  </si>
  <si>
    <t>BOR-589994</t>
  </si>
  <si>
    <t>ZAAUTO2024-1-00498</t>
  </si>
  <si>
    <t>BOR-375903</t>
  </si>
  <si>
    <t>ZAAUTO2024-1-00242</t>
  </si>
  <si>
    <t>BOR-825443</t>
  </si>
  <si>
    <t>ZAAUTO2024-1-00428</t>
  </si>
  <si>
    <t>BOR-386926</t>
  </si>
  <si>
    <t>ZAAUTO2024-1-00099</t>
  </si>
  <si>
    <t>BOR-409963</t>
  </si>
  <si>
    <t>ZAAUTO2024-1-00206</t>
  </si>
  <si>
    <t>BOR-847732</t>
  </si>
  <si>
    <t>ZAAUTO2024-1-00215</t>
  </si>
  <si>
    <t>BOR-514603</t>
  </si>
  <si>
    <t>ZAAUTO2024-1-00458</t>
  </si>
  <si>
    <t>BOR-779776</t>
  </si>
  <si>
    <t>ZAAUTO2024-1-00062</t>
  </si>
  <si>
    <t>BOR-417915</t>
  </si>
  <si>
    <t>ZAAUTO2024-1-00163</t>
  </si>
  <si>
    <t>BOR-216968</t>
  </si>
  <si>
    <t>ZAAUTO2024-1-00461</t>
  </si>
  <si>
    <t>BOR-660130</t>
  </si>
  <si>
    <t>ZAAUTO2024-1-00499</t>
  </si>
  <si>
    <t>BOR-366825</t>
  </si>
  <si>
    <t>ZAAUTO2024-1-00272</t>
  </si>
  <si>
    <t>BOR-322155</t>
  </si>
  <si>
    <t>ZAAUTO2024-1-00309</t>
  </si>
  <si>
    <t>BOR-906367</t>
  </si>
  <si>
    <t>ZAAUTO2024-1-00151</t>
  </si>
  <si>
    <t>BOR-793029</t>
  </si>
  <si>
    <t>ZAAUTO2024-1-00402</t>
  </si>
  <si>
    <t>BOR-788801</t>
  </si>
  <si>
    <t>ZAAUTO2024-1-00452</t>
  </si>
  <si>
    <t>BOR-549492</t>
  </si>
  <si>
    <t>ZAAUTO2024-1-00164</t>
  </si>
  <si>
    <t>BOR-599365</t>
  </si>
  <si>
    <t>ZAAUTO2024-1-00460</t>
  </si>
  <si>
    <t>BOR-271319</t>
  </si>
  <si>
    <t>ZAAUTO2024-1-00477</t>
  </si>
  <si>
    <t>BOR-348298</t>
  </si>
  <si>
    <t>ZAAUTO2024-1-00454</t>
  </si>
  <si>
    <t>BOR-116539</t>
  </si>
  <si>
    <t>ZAAUTO2024-1-00290</t>
  </si>
  <si>
    <t>BOR-209612</t>
  </si>
  <si>
    <t>ZAAUTO2024-1-00101</t>
  </si>
  <si>
    <t>BOR-276795</t>
  </si>
  <si>
    <t>ZAAUTO2024-1-00282</t>
  </si>
  <si>
    <t>BOR-204415</t>
  </si>
  <si>
    <t>ZAAUTO2024-1-00302</t>
  </si>
  <si>
    <t>BOR-362651</t>
  </si>
  <si>
    <t>ZAAUTO2024-1-00122</t>
  </si>
  <si>
    <t>BOR-977857</t>
  </si>
  <si>
    <t>ZAAUTO2024-1-00260</t>
  </si>
  <si>
    <t>BOR-259903</t>
  </si>
  <si>
    <t>ZAAUTO2024-1-00202</t>
  </si>
  <si>
    <t>BOR-731548</t>
  </si>
  <si>
    <t>ZAAUTO2024-1-00210</t>
  </si>
  <si>
    <t>BOR-852485</t>
  </si>
  <si>
    <t>ZAAUTO2024-1-00230</t>
  </si>
  <si>
    <t>BOR-583814</t>
  </si>
  <si>
    <t>ZAAUTO2024-1-00326</t>
  </si>
  <si>
    <t>BOR-207292</t>
  </si>
  <si>
    <t>ZAAUTO2024-1-00025</t>
  </si>
  <si>
    <t>BOR-350405</t>
  </si>
  <si>
    <t>ZAAUTO2024-1-00319</t>
  </si>
  <si>
    <t>BOR-219051</t>
  </si>
  <si>
    <t>ZAAUTO2024-1-00334</t>
  </si>
  <si>
    <t>BOR-859309</t>
  </si>
  <si>
    <t>ZAAUTO2024-1-00382</t>
  </si>
  <si>
    <t>BOR-248196</t>
  </si>
  <si>
    <t>ZAAUTO2024-1-00270</t>
  </si>
  <si>
    <t>BOR-215507</t>
  </si>
  <si>
    <t>ZAAUTO2024-1-00496</t>
  </si>
  <si>
    <t>BOR-130294</t>
  </si>
  <si>
    <t>AnnualIncome_INR</t>
  </si>
  <si>
    <t>ScheduledPaymentDue</t>
  </si>
  <si>
    <t>DTI_Ratio</t>
  </si>
  <si>
    <t xml:space="preserve"> BorrowerAge</t>
  </si>
  <si>
    <t>Metric</t>
  </si>
  <si>
    <t>Value</t>
  </si>
  <si>
    <t>Total EAD</t>
  </si>
  <si>
    <t>12M PD</t>
  </si>
  <si>
    <t>LGD</t>
  </si>
  <si>
    <t>DAX ECL</t>
  </si>
  <si>
    <t>Excel ECL</t>
  </si>
  <si>
    <t>Variance</t>
  </si>
  <si>
    <t>Variance %</t>
  </si>
  <si>
    <t>Total Collections</t>
  </si>
  <si>
    <t>Total Outstanding</t>
  </si>
  <si>
    <t>Senior Tranche Allocation - DAX</t>
  </si>
  <si>
    <t>Column1</t>
  </si>
  <si>
    <t>Total Collection</t>
  </si>
  <si>
    <t>Metrics</t>
  </si>
  <si>
    <t>Mezzeanine Tranche Allocation - DAX</t>
  </si>
  <si>
    <t>Equity Residual Allocation  - DAX</t>
  </si>
  <si>
    <t>Values</t>
  </si>
  <si>
    <t>Senior Manual</t>
  </si>
  <si>
    <t>Mezzeanine Manual</t>
  </si>
  <si>
    <t>Equity Manual</t>
  </si>
  <si>
    <t>Manual Total Allocation</t>
  </si>
  <si>
    <t>Allocation Varience</t>
  </si>
  <si>
    <t>Varience %</t>
  </si>
  <si>
    <t>DAX</t>
  </si>
  <si>
    <t xml:space="preserve">ManualManual </t>
  </si>
  <si>
    <t>ValueVariance</t>
  </si>
  <si>
    <t>Senior Tranche</t>
  </si>
  <si>
    <t>Mezzanine Tranche</t>
  </si>
  <si>
    <t xml:space="preserve">Equity Residual </t>
  </si>
  <si>
    <t>Total Allocation</t>
  </si>
  <si>
    <t>Overall Variance</t>
  </si>
  <si>
    <t>Column2</t>
  </si>
  <si>
    <t>Name</t>
  </si>
  <si>
    <t>Expression</t>
  </si>
  <si>
    <t>120plus DPD Balance</t>
  </si>
  <si>
    <t>CALCULATE(SUM('auto_loan_securitisation_data'[CurrentBalance]), 'auto_loan_securitisation_data'[DelinquencyDays] &gt;=120)</t>
  </si>
  <si>
    <t>12M Avg 30Plus DPD Rate</t>
  </si>
  <si>
    <t xml:space="preserve">
AVERAGEX(
    DATESINPERIOD(
        'DimDate'[Date],
        MAX('DimDate'[Date]),
        -12,
        MONTH
    ),
    CALCULATE([30Plus DPD Rate])
)</t>
  </si>
  <si>
    <t>12M ECL Stage 1</t>
  </si>
  <si>
    <t xml:space="preserve">
VAR PD =
    [12M PD]
VAR LGD_Value =
    [LGD]
VAR Stage1EAD =
    CALCULATE(
        [Total EAD],
        FILTER(
            'auto_loan_securitisation_data',
            'auto_loan_securitisation_data'[DelinquencyDays] &lt; 60
        )
    )
RETURN
    PD * LGD_Value * Stage1EAD</t>
  </si>
  <si>
    <t xml:space="preserve">
DIVIDE(
    [Defaulted Loans],
    [Total Loans]
)</t>
  </si>
  <si>
    <t>12M StdDev 30Plus DPD Rate</t>
  </si>
  <si>
    <t xml:space="preserve">
STDEVX.S(
    DATESINPERIOD(
        'DimDate'[Date],
        MAX('DimDate'[Date]),
        -12,
        MONTH
    ),
    CALCULATE([30Plus DPD Rate by Month])
)</t>
  </si>
  <si>
    <t>30Plus DPD Balance</t>
  </si>
  <si>
    <t>CALCULATE( SUM('auto_loan_securitisation_data'[CurrentBalance]), 'auto_loan_securitisation_data'[DelinquencyDays] &gt;= 30)</t>
  </si>
  <si>
    <t>30Plus DPD Rate</t>
  </si>
  <si>
    <t xml:space="preserve">
DIVIDE(
    [30Plus DPD Balance],
    SUM('auto_loan_securitisation_data'[CurrentBalance])
)</t>
  </si>
  <si>
    <t>30Plus DPD Rate by Month</t>
  </si>
  <si>
    <t xml:space="preserve">
VAR SelectedMonth =
    MAX('DimDate'[Date])
VAR TotalBal =
    CALCULATE(
        SUM('dpd_snapshot_history'[CurrentBalance]),
        'DimDate'[Date] = SelectedMonth
    )
VAR DelinqBal =
    CALCULATE(
        SUM('dpd_snapshot_history'[CurrentBalance]),
        'dpd_snapshot_history'[DPD_Days] &gt;= 30,
        'DimDate'[Date] = SelectedMonth
    )
RETURN
    DIVIDE(DelinqBal, TotalBal)</t>
  </si>
  <si>
    <t>30Plus DPD Rate MTD</t>
  </si>
  <si>
    <t xml:space="preserve">
TOTALMTD(
    [30Plus DPD Rate by Month],
    'DimDate'[Date]
)</t>
  </si>
  <si>
    <t>30Plus DPD Rate QTD</t>
  </si>
  <si>
    <t xml:space="preserve">
TOTALQTD(
    [30Plus DPD Rate by Month],
    'DimDate'[Date]
)</t>
  </si>
  <si>
    <t>30Plus DPD Rate Test</t>
  </si>
  <si>
    <t xml:space="preserve">
DIVIDE(
    CALCULATE(
        SUM('dpd_snapshot_history'[CurrentBalance]),
        'dpd_snapshot_history'[DPD_Days] &gt;= 30
    ),
    SUM('dpd_snapshot_history'[CurrentBalance])
)</t>
  </si>
  <si>
    <t>30Plus DPD Rate vs Prior Month</t>
  </si>
  <si>
    <t xml:space="preserve">
VAR CurrentRate =
    [30Plus DPD Rate by Month]
VAR PriorRate =
    CALCULATE(
        [30Plus DPD Rate by Month],
        DATEADD('DimDate'[Date], -1, MONTH)
    )
RETURN
    CurrentRate - PriorRate</t>
  </si>
  <si>
    <t>30Plus DPD Rate vs Prior Quarter</t>
  </si>
  <si>
    <t xml:space="preserve">
VAR CurrentRate =
    [30Plus DPD Rate by Month]
VAR PriorRate =
    CALCULATE(
        [30Plus DPD Rate by Month],
        DATEADD('DimDate'[Date], -1, QUARTER)
    )
RETURN
    CurrentRate - PriorRate</t>
  </si>
  <si>
    <t>30Plus DPD Rate vs Prior Year</t>
  </si>
  <si>
    <t xml:space="preserve">
VAR CurrentRate =
    [30Plus DPD Rate by Month]
VAR PriorRate =
    CALCULATE(
        [30Plus DPD Rate by Month],
        DATEADD('DimDate'[Date], -1, YEAR)
    )
RETURN
    CurrentRate - PriorRate</t>
  </si>
  <si>
    <t>30Plus DPD Rate YTD</t>
  </si>
  <si>
    <t xml:space="preserve">
TOTALYTD(
    [30Plus DPD Rate],
    'DimDate'[Date]
)</t>
  </si>
  <si>
    <t>30Plus DPD Trend Alert</t>
  </si>
  <si>
    <t xml:space="preserve">
VAR CurrentRate =
    [30Plus DPD Rate by Month]
VAR Avg12M =
    [12M Avg 30Plus DPD Rate]
VAR StdDev12M =
    [12M StdDev 30Plus DPD Rate]
RETURN
    IF(
        ABS(CurrentRate - Avg12M) &gt; (2 * StdDev12M),
        1,
        0
    )</t>
  </si>
  <si>
    <t>3M Avg 30Plus DPD Rate</t>
  </si>
  <si>
    <t xml:space="preserve">
AVERAGEX(
    DATESINPERIOD(
        'DimDate'[Date],
        MAX('DimDate'[Date]),
        -3,
        MONTH
    ),
    CALCULATE([30Plus DPD Rate])
)</t>
  </si>
  <si>
    <t>3M Avg 30Plus DPD Rate Trend</t>
  </si>
  <si>
    <t xml:space="preserve">
AVERAGEX(
    DATESINPERIOD(
        'DimDate'[Date],
        MAX('DimDate'[Date]),
        -3,
        MONTH
    ),
    CALCULATE([30Plus DPD Rate Test])
)</t>
  </si>
  <si>
    <t>60plus DPD Balance</t>
  </si>
  <si>
    <t>CALCULATE(SUM('auto_loan_securitisation_data'[CurrentBalance]), 'auto_loan_securitisation_data'[DelinquencyDays] &gt;=60)</t>
  </si>
  <si>
    <t>60Plus DPD Rate</t>
  </si>
  <si>
    <t xml:space="preserve">
DIVIDE(
    [60plus DPD Balance],
    SUM('auto_loan_securitisation_data'[CurrentBalance])
)</t>
  </si>
  <si>
    <t>90plus DPD Balance</t>
  </si>
  <si>
    <t>CALCULATE(SUM('auto_loan_securitisation_data'[CurrentBalance]), 'auto_loan_securitisation_data'[DelinquencyDays] &gt;=90)</t>
  </si>
  <si>
    <t>Active Loans</t>
  </si>
  <si>
    <t>CALCULATE( DISTINCTCOUNT('auto_loan_securitisation_data'[LoanID]), 'auto_loan_securitisation_data'[IsDefaulted] = FALSE())</t>
  </si>
  <si>
    <t>Average DPD Age</t>
  </si>
  <si>
    <t xml:space="preserve">
AVERAGEX(
    FILTER(
        'dpd_snapshot_history',
        'dpd_snapshot_history'[DPD_Days] &gt; 0
    ),
    'dpd_snapshot_history'[DPD_Days]
)</t>
  </si>
  <si>
    <t>Average Outstanding per Vehicle</t>
  </si>
  <si>
    <t xml:space="preserve">
DIVIDE(
    [Total Outstanding],
    DISTINCTCOUNT('DimVehicle'[VehicleType])
)</t>
  </si>
  <si>
    <t>Base ECL</t>
  </si>
  <si>
    <t>[ECL]</t>
  </si>
  <si>
    <t>Borrower HHI</t>
  </si>
  <si>
    <t xml:space="preserve">
VAR TotalBal =
    CALCULATE(
        [Total Outstanding],
        ALLSELECTED('DimBorrower'[BorrowerID])
    )
VAR BorrowerShares =
    ADDCOLUMNS(
        SUMMARIZE(
            ALLSELECTED('DimBorrower'[BorrowerID]),
            'DimBorrower'[BorrowerID]
        ),
        "Share",
            DIVIDE(
                CALCULATE([Total Outstanding]),
                TotalBal
            )
    )
RETURN
    SUMX(
        BorrowerShares,
        [Share] * [Share]
    )</t>
  </si>
  <si>
    <t>Collection Efficiency</t>
  </si>
  <si>
    <t xml:space="preserve">
DIVIDE(
    SUM('auto_loan_securitisation_data'[TotalPaymentsMade]),
    SUM('auto_loan_securitisation_data'[TotalPaymentsDue])
)</t>
  </si>
  <si>
    <t>Crisis ECL</t>
  </si>
  <si>
    <t>[ECL] * 2.00</t>
  </si>
  <si>
    <t>Cumulative Default Rate</t>
  </si>
  <si>
    <t xml:space="preserve">
DIVIDE(
    SUM('static_pool_vintage_data'[CumulativeDefaults_Balance]),
    SUM('static_pool_vintage_data'[OriginalPoolBalance])
)</t>
  </si>
  <si>
    <t>Cumulative Loss Rate</t>
  </si>
  <si>
    <t xml:space="preserve">
DIVIDE(
    SUM('static_pool_vintage_data'[CumulativeNetLoss]),
    SUM('static_pool_vintage_data'[OriginalPoolBalance])
)</t>
  </si>
  <si>
    <t>Cumulative Loss Trigger Status</t>
  </si>
  <si>
    <t xml:space="preserve">
IF(
    [Monthly Net Loss Rate] &lt;= 0.03,
    "PASS",
    "FAIL"
)</t>
  </si>
  <si>
    <t>CALCULATE(SUM('auto_loan_securitisation_data'[CurrentBalance]), 'auto_loan_securitisation_data'[DelinquencyDays] = 0 )</t>
  </si>
  <si>
    <t>Default Rate</t>
  </si>
  <si>
    <t>DIVIDE([Defaulted Loans],[Total Loans])</t>
  </si>
  <si>
    <t>Default Rate Multiplier Value</t>
  </si>
  <si>
    <t>SELECTEDVALUE('Default Rate Multiplier'[Default Rate Multiplier], 1)</t>
  </si>
  <si>
    <t>Defaulted Balance</t>
  </si>
  <si>
    <t xml:space="preserve">
CALCULATE(
    SUM('auto_loan_securitisation_data'[CurrentBalance]),
    'auto_loan_securitisation_data'[IsDefaulted] = TRUE()
)</t>
  </si>
  <si>
    <t>Defaulted Loans</t>
  </si>
  <si>
    <t>CALCULATE(DISTINCTCOUNT('auto_loan_securitisation_data'[LoanID]), 'auto_loan_securitisation_data'[IsDefaulted] = TRUE())</t>
  </si>
  <si>
    <t>Delinquency Rate</t>
  </si>
  <si>
    <t xml:space="preserve">
DIVIDE(
    CALCULATE(
        SUM('auto_loan_securitisation_data'[CurrentBalance]),
        'auto_loan_securitisation_data'[DelinquencyDays] &gt;= 30
    ),
    SUM('auto_loan_securitisation_data'[CurrentBalance])
)</t>
  </si>
  <si>
    <t>Delinquency Trigger Status</t>
  </si>
  <si>
    <t xml:space="preserve">
IF(
    [30Plus DPD Rate] &lt;= 0.05,
    "PASS",
    "FAIL"
)</t>
  </si>
  <si>
    <t>DPD % Pool</t>
  </si>
  <si>
    <t xml:space="preserve">
DIVIDE(
    [DPD Report Balance],
    CALCULATE(
        [DPD Report Balance],
        REMOVEFILTERS('dpd_snapshot_history'[DPD_Bucket])
    )
)</t>
  </si>
  <si>
    <t>DPD Report Balance</t>
  </si>
  <si>
    <t xml:space="preserve">
VAR LatestDate =
    CALCULATE(
        MAX('dpd_snapshot_history'[SnapshotDate]),
        ALLSELECTED('dpd_snapshot_history'[SnapshotDate])
    )
RETURN
    CALCULATE(
        SUM('dpd_snapshot_history'[CurrentBalance]),
        'dpd_snapshot_history'[SnapshotDate] = LatestDate
    )</t>
  </si>
  <si>
    <t>DPD Report Loans</t>
  </si>
  <si>
    <t xml:space="preserve">
VAR LatestDate =
    CALCULATE(
        MAX('dpd_snapshot_history'[SnapshotDate]),
        ALLSELECTED('dpd_snapshot_history'[SnapshotDate])
    )
RETURN
    CALCULATE(
        DISTINCTCOUNT('dpd_snapshot_history'[LoanID]),
        'dpd_snapshot_history'[SnapshotDate] = LatestDate
    )</t>
  </si>
  <si>
    <t>DPD Trend Direction</t>
  </si>
  <si>
    <t xml:space="preserve">
VAR Current3M =
    [3M Avg 30Plus DPD Rate]
VAR Prior3M =
    CALCULATE(
        [3M Avg 30Plus DPD Rate],
        DATEADD('DimDate'[Date], -3, MONTH)
    )
RETURN
    SWITCH(
        TRUE(),
        Current3M &gt; Prior3M * 1.1, "Deteriorating",
        Current3M &lt; Prior3M * 0.9, "Improving",
        "Stable"
    )</t>
  </si>
  <si>
    <t>ECL</t>
  </si>
  <si>
    <t>[12M PD] * [LGD] * [Total EAD]</t>
  </si>
  <si>
    <t>Equity Residual Allocation</t>
  </si>
  <si>
    <t xml:space="preserve">
MAX(
    [Total Collections]
        - [Senior Tranche Allocation]
        - [Mezzanine Tranche Allocation],
    0
)</t>
  </si>
  <si>
    <t>IFRS 9 Stage</t>
  </si>
  <si>
    <t xml:space="preserve">
VAR DPD =
    MAX('auto_loan_securitisation_data'[DelinquencyDays])
RETURN
    SWITCH(
        TRUE(),
        DPD &gt;= 120, "Stage 3",
        DPD &gt;= 60, "Stage 2",
        "Stage 1"
    )</t>
  </si>
  <si>
    <t>Interest Rate Shock Value</t>
  </si>
  <si>
    <t>SELECTEDVALUE('Interest Rate Shock'[Interest Rate Shock], 0)</t>
  </si>
  <si>
    <t xml:space="preserve">
1 -
DIVIDE(
    [Total Recovery Amount],
    [Defaulted Balance]
)</t>
  </si>
  <si>
    <t>Lifetime ECL</t>
  </si>
  <si>
    <t xml:space="preserve">
CALCULATE(
    [ECL],
    FILTER(
        'auto_loan_securitisation_data',
        'auto_loan_securitisation_data'[DelinquencyDays] &gt;= 60
    )
)</t>
  </si>
  <si>
    <t>Marginal Monthly Loss Rate</t>
  </si>
  <si>
    <t xml:space="preserve">
VAR CurrentMOB =
    MAX('static_pool_vintage_data'[MonthsOnBook])
VAR CurrentLoss =
    MAX('static_pool_vintage_data'[CumulativeNetLoss])
VAR PreviousLoss =
    CALCULATE(
        MAX('static_pool_vintage_data'[CumulativeNetLoss]),
        FILTER(
            ALL('static_pool_vintage_data'[MonthsOnBook]),
            'static_pool_vintage_data'[MonthsOnBook] = CurrentMOB - 1
        )
    )
RETURN
    DIVIDE(
        CurrentLoss - PreviousLoss,
        MAX('static_pool_vintage_data'[OriginalPoolBalance])
    )</t>
  </si>
  <si>
    <t>Measure</t>
  </si>
  <si>
    <t/>
  </si>
  <si>
    <t>Measure 2</t>
  </si>
  <si>
    <t>Mezzanine OC Ratio</t>
  </si>
  <si>
    <t xml:space="preserve">
DIVIDE(
    [Total Outstanding],
    [Mezzanine Tranche Allocation]
)</t>
  </si>
  <si>
    <t>Mezzanine OC Trigger Status</t>
  </si>
  <si>
    <t xml:space="preserve">
IF(
    [Mezzanine OC Ratio] &gt;= 1.10,
    "PASS",
    "FAIL"
)</t>
  </si>
  <si>
    <t>Mezzanine Tranche Allocation</t>
  </si>
  <si>
    <t xml:space="preserve">
MIN(
    MAX(
        [Total Collections] - [Senior Tranche Allocation],
        0
    ),
    [Total Outstanding] * 0.20
)</t>
  </si>
  <si>
    <t>Moderate Stress ECL</t>
  </si>
  <si>
    <t>[ECL] * 1.25</t>
  </si>
  <si>
    <t>Monthly Net Loss Rate</t>
  </si>
  <si>
    <t xml:space="preserve">
VAR AvgBalance =
    DIVIDE(
        SUM('dynamic_loss_monthly'[BOP_Balance]) +
        SUM('dynamic_loss_monthly'[EOP_Balance]),
        2
    )
RETURN
    DIVIDE(
        SUM('dynamic_loss_monthly'[NetLoss_ThisMonth]),
        AvgBalance
    )</t>
  </si>
  <si>
    <t>SUM(auto_loan_securitisation_data[OriginalLoanAmount])</t>
  </si>
  <si>
    <t>Pool Factor</t>
  </si>
  <si>
    <t>DIVIDE( SUM('auto_loan_securitisation_data'[CurrentBalance]), SUM('auto_loan_securitisation_data'[OriginalLoanAmount]))</t>
  </si>
  <si>
    <t>Portfolio Concentration Flag</t>
  </si>
  <si>
    <t xml:space="preserve">
IF(
    [Portfolio HHI] &gt;= 0.25,
    "High Concentration",
    IF(
        [Portfolio HHI] &gt;= 0.15,
        "Moderate Concentration",
        "Low Concentration"
    )
)</t>
  </si>
  <si>
    <t>Portfolio HHI</t>
  </si>
  <si>
    <t xml:space="preserve">
SUMX(
    ALLSELECTED('DimVehicle'[VehicleType]),
    VAR VehicleShare =
        DIVIDE(
            [Total Outstanding],
            CALCULATE(
                [Total Outstanding],
                ALLSELECTED('DimVehicle'[VehicleType])
            )
        )
    RETURN
        VehicleShare * VehicleShare
)</t>
  </si>
  <si>
    <t>Prepaid Loans</t>
  </si>
  <si>
    <t>CALCULATE(DISTINCTCOUNT('auto_loan_securitisation_data'[LoanID]), 'auto_loan_securitisation_data'[PrepaymentAmount] &gt; 0 )</t>
  </si>
  <si>
    <t>Prepayment Rate</t>
  </si>
  <si>
    <t>Divide([Prepaid Loans],[Total Loans])</t>
  </si>
  <si>
    <t>Prepayment Speed Change Value</t>
  </si>
  <si>
    <t>SELECTEDVALUE('Prepayment Speed Change'[Prepayment Speed Change], 0)</t>
  </si>
  <si>
    <t>Recovery Rate</t>
  </si>
  <si>
    <t xml:space="preserve">
DIVIDE(
    SUM('dynamic_loss_monthly'[Recoveries_ThisMonth]),
    SUM('dynamic_loss_monthly'[GrossLoss_ThisMonth])
)</t>
  </si>
  <si>
    <t>Recovery Rate Haircut Value</t>
  </si>
  <si>
    <t>SELECTEDVALUE('Recovery Rate Haircut'[Recovery Rate Haircut], 0)</t>
  </si>
  <si>
    <t>Roll Rate %</t>
  </si>
  <si>
    <t xml:space="preserve">
DIVIDE(
    DISTINCTCOUNT('dpd_snapshot_history'[LoanID]),
    CALCULATE(
        DISTINCTCOUNT('dpd_snapshot_history'[LoanID]),
        REMOVEFILTERS('dpd_snapshot_history'[DPD_Bucket])
    )
)</t>
  </si>
  <si>
    <t>Rolling 12M Net Loss Rate</t>
  </si>
  <si>
    <t xml:space="preserve">
VAR Last12MLoss =
    CALCULATE(
        SUM('dynamic_loss_monthly'[NetLoss_ThisMonth]),
        DATESINPERIOD(
            'DimDate'[Date],
            MAX('DimDate'[Date]),
            -12,
            MONTH
        )
    )
VAR AvgPoolBalance =
    AVERAGEX(
        DATESINPERIOD(
            'DimDate'[Date],
            MAX('DimDate'[Date]),
            -12,
            MONTH
        ),
        CALCULATE(
            SUM('dynamic_loss_monthly'[BOP_Balance])
        )
    )
RETURN
    DIVIDE(Last12MLoss, AvgPoolBalance)</t>
  </si>
  <si>
    <t>Rolling 3M Net Loss Rate</t>
  </si>
  <si>
    <t xml:space="preserve">
VAR EndDate =
    MAX('DimDate'[Date])
RETURN
AVERAGEX(
    DATESINPERIOD(
        'DimDate'[Date],
        EndDate,
        -3,
        MONTH
    ),
    CALCULATE([Monthly Net Loss Rate])
)</t>
  </si>
  <si>
    <t>Senior Credit Enhancement</t>
  </si>
  <si>
    <t xml:space="preserve">
DIVIDE(
    [Total Outstanding] - [Senior Tranche Allocation],
    [Total Outstanding]
) </t>
  </si>
  <si>
    <t>Senior OC Ratio</t>
  </si>
  <si>
    <t xml:space="preserve">
DIVIDE(
    [Total Outstanding],
    [Senior Tranche Allocation]
)</t>
  </si>
  <si>
    <t>Senior OC Trigger Status</t>
  </si>
  <si>
    <t xml:space="preserve">
IF(
    [Senior OC Ratio] &gt;= 1.20,
    "PASS",
    "FAIL"
)</t>
  </si>
  <si>
    <t>Senior Tranche Allocation</t>
  </si>
  <si>
    <t xml:space="preserve">
MIN(
    [Total Collections],
    [Total Outstanding] * 0.70
)</t>
  </si>
  <si>
    <t>Serious Delinquency Rate</t>
  </si>
  <si>
    <t xml:space="preserve">
DIVIDE(
    CALCULATE(
        SUM('auto_loan_securitisation_data'[CurrentBalance]),
        'auto_loan_securitisation_data'[DelinquencyDays] &gt;= 60
    ),
    SUM('auto_loan_securitisation_data'[CurrentBalance])
)</t>
  </si>
  <si>
    <t>Severe Stress ECL</t>
  </si>
  <si>
    <t>[ECL] * 1.50</t>
  </si>
  <si>
    <t>Stress Adjusted ECL</t>
  </si>
  <si>
    <t xml:space="preserve">
[ECL] * 'Default Rate Multiplier'[Default Rate Multiplier Value]</t>
  </si>
  <si>
    <t>Stress Adjusted LGD</t>
  </si>
  <si>
    <t xml:space="preserve">
1 -
(
    (1 - [LGD])
    * (1 - 'Recovery Rate Haircut'[Recovery Rate Haircut Value])
)</t>
  </si>
  <si>
    <t>Stress Delinquency Trigger Proximity</t>
  </si>
  <si>
    <t xml:space="preserve">
0.05 -
(
    [30Plus DPD Rate]
    * 'Default Rate Multiplier'[Default Rate Multiplier Value]
)</t>
  </si>
  <si>
    <t>Stress Scenario ECL</t>
  </si>
  <si>
    <t xml:space="preserve">
[Total EAD]
    * [12M PD]
    * [Stress Adjusted LGD]
    * 'Default Rate Multiplier'[Default Rate Multiplier Value]</t>
  </si>
  <si>
    <t>Top 10 Borrower Concentration</t>
  </si>
  <si>
    <t xml:space="preserve">
VAR TotalBal =
    CALCULATE(
        [Total Outstanding],
        ALLSELECTED('DimBorrower'[BorrowerID])
    )
VAR BorrowerRanked =
    ADDCOLUMNS(
        SUMMARIZE(
            ALLSELECTED('DimBorrower'[BorrowerID]),
            'DimBorrower'[BorrowerID]
        ),
        "Balance", CALCULATE([Total Outstanding])
    )
VAR Top10 =
    TOPN(
        10,
        BorrowerRanked,
        [Balance],
        DESC
    )
RETURN
    DIVIDE(
        SUMX(Top10, [Balance]),
        TotalBal
    )</t>
  </si>
  <si>
    <t>Top 3 Vehicle Portfolio</t>
  </si>
  <si>
    <t xml:space="preserve">
CALCULATE(
    [Total Outstanding],
    TOPN(
        3,
        ALLSELECTED('DimVehicle'[VehicleType]),
        [Total Outstanding],
        DESC
    )
)</t>
  </si>
  <si>
    <t>Top 5 Vehicle Portfolio Share</t>
  </si>
  <si>
    <t xml:space="preserve">
VAR VehicleSummary =
    ADDCOLUMNS(
        SUMMARIZE(
            ALLSELECTED('DimVehicle'[VehicleType]),
            'DimVehicle'[VehicleType]
        ),
        "Balance", CALCULATE([Total Outstanding])
    )
VAR Top5Vehicles =
    TOPN(
        5,
        VehicleSummary,
        [Balance],
        DESC
    )
RETURN
    DIVIDE(
        SUMX(Top5Vehicles, [Balance]),
        CALCULATE(
            [Total Outstanding],
            ALLSELECTED('DimVehicle'[VehicleType])
        )
    )</t>
  </si>
  <si>
    <t xml:space="preserve">
SUM('auto_loan_securitisation_data'[LastPaymentAmount])</t>
  </si>
  <si>
    <t xml:space="preserve">
SUM('auto_loan_securitisation_data'[EAD])</t>
  </si>
  <si>
    <t>Total ECL Provision</t>
  </si>
  <si>
    <t xml:space="preserve">
SUM('auto_loan_securitisation_data'[ECL_Provision])</t>
  </si>
  <si>
    <t>Total Loans</t>
  </si>
  <si>
    <t xml:space="preserve">DISTINCTCOUNT('auto_loan_securitisation_data'[LoanID]) </t>
  </si>
  <si>
    <t>Total Loss Amount</t>
  </si>
  <si>
    <t>SUM('auto_loan_securitisation_data'[LossAmount])</t>
  </si>
  <si>
    <t>Total Net Loss</t>
  </si>
  <si>
    <t xml:space="preserve">
SUM('auto_loan_securitisation_data'[NetLoss])</t>
  </si>
  <si>
    <t>Total Net Loss MTD</t>
  </si>
  <si>
    <t xml:space="preserve">
TOTALMTD(
    [Total Net Loss],
    'DimDate'[Date]
)</t>
  </si>
  <si>
    <t>Total Net Loss QTD</t>
  </si>
  <si>
    <t xml:space="preserve">
TOTALQTD(
    [Total Net Loss],
    'DimDate'[Date]
)</t>
  </si>
  <si>
    <t>Total Net Loss YTD</t>
  </si>
  <si>
    <t xml:space="preserve">
TOTALYTD(
    [Total Net Loss],
    'DimDate'[Date]
)</t>
  </si>
  <si>
    <t>SUM('auto_loan_securitisation_data'[CurrentBalance])</t>
  </si>
  <si>
    <t>Total Outstanding MTD</t>
  </si>
  <si>
    <t xml:space="preserve">
TOTALMTD(
    [Total Outstanding],
    'DimDate'[Date]
)</t>
  </si>
  <si>
    <t>Total Outstanding QTD</t>
  </si>
  <si>
    <t>TOTALQTD([Total Outstanding],'DimDate'[Date])</t>
  </si>
  <si>
    <t>Total Outstanding YTD</t>
  </si>
  <si>
    <t>TOTALYTD([Total Outstanding], 'DimDate'[Date])</t>
  </si>
  <si>
    <t>Total Prepayment Amount</t>
  </si>
  <si>
    <t xml:space="preserve">
SUM('auto_loan_securitisation_data'[PrepaymentAmount])</t>
  </si>
  <si>
    <t>Total Recovery Amount</t>
  </si>
  <si>
    <t xml:space="preserve">
SUM('auto_loan_securitisation_data'[RecoveryAmount])</t>
  </si>
  <si>
    <t>Vehicle Portfolio Rank</t>
  </si>
  <si>
    <t>RANKX( ALLSELECTED('DimVehicle'[VehicleType]), [Total Outstanding], , DESC, Dense)</t>
  </si>
  <si>
    <t>Vehicle Portfolio Share</t>
  </si>
  <si>
    <t xml:space="preserve">
DIVIDE(
    [Total Outstanding],
    CALCULATE(
        [Total Outstanding],
        ALLSELECTED('DimVehicle'[VehicleType])
    )
)</t>
  </si>
  <si>
    <t>Vehicle Portfolio Summary</t>
  </si>
  <si>
    <t xml:space="preserve">
VAR VehicleSummary =
    SUMMARIZE(
        ALLSELECTED('DimVehicle'[VehicleType]),
        'DimVehicle'[VehicleType],
        "Outstanding", [Total Outstanding]
    )
RETURN
    SUMX(
        VehicleSummary,
        [Outstanding]
    )</t>
  </si>
  <si>
    <t>Vehicle Type Count</t>
  </si>
  <si>
    <t xml:space="preserve">
DISTINCTCOUNT('DimVehicle'[VehicleType])</t>
  </si>
  <si>
    <t>Vintage Loss Timing</t>
  </si>
  <si>
    <t xml:space="preserve">
AVERAGE(
    'static_pool_vintage_data'[CumulativeNetLossRate]
)</t>
  </si>
  <si>
    <t>Vintage WAC</t>
  </si>
  <si>
    <t xml:space="preserve">
VAR VintageStart =
    MIN('static_pool_vintage_data'[VintageStartDate])
VAR VintageEnd =
    EDATE(VintageStart, 3)
RETURN
    CALCULATE(
        [WAC],
        FILTER(
            ALL('auto_loan_securitisation_data'[OriginationDate]),
            'auto_loan_securitisation_data'[OriginationDate] &gt;= VintageStart
                &amp;&amp; 'auto_loan_securitisation_data'[OriginationDate] &lt; VintageEnd
        )
    )</t>
  </si>
  <si>
    <t>Vintage WALA</t>
  </si>
  <si>
    <t xml:space="preserve">
VAR VintageStart =
    MIN('static_pool_vintage_data'[VintageStartDate])
VAR VintageEnd =
    EDATE(VintageStart, 3)
RETURN
    CALCULATE(
        [WALA],
        FILTER(
            ALL('auto_loan_securitisation_data'[OriginationDate]),
            'auto_loan_securitisation_data'[OriginationDate] &gt;= VintageStart
                &amp;&amp; 'auto_loan_securitisation_data'[OriginationDate] &lt; VintageEnd
        )
    )</t>
  </si>
  <si>
    <t>WAC</t>
  </si>
  <si>
    <t xml:space="preserve">
DIVIDE(
    SUMX(
        'auto_loan_securitisation_data',
        'auto_loan_securitisation_data'[InterestRate]
            * 'auto_loan_securitisation_data'[CurrentBalance]
    ),
    SUM('auto_loan_securitisation_data'[CurrentBalance])
)</t>
  </si>
  <si>
    <t>WALA</t>
  </si>
  <si>
    <t xml:space="preserve">
DIVIDE(
    SUMX(
        'auto_loan_securitisation_data',
        'auto_loan_securitisation_data'[MonthsOnBook]
            * 'auto_loan_securitisation_data'[CurrentBalance]
    ),
    SUM('auto_loan_securitisation_data'[CurrentBalance])
)</t>
  </si>
  <si>
    <t>WALT</t>
  </si>
  <si>
    <t xml:space="preserve">
DIVIDE(
    SUMX(
        'auto_loan_securitisation_data',
        'auto_loan_securitisation_data'[OriginalTerm]
            * 'auto_loan_securitisation_data'[CurrentBalance]
    ),
    SUM('auto_loan_securitisation_data'[CurrentBalance])
)</t>
  </si>
  <si>
    <t>WAM</t>
  </si>
  <si>
    <t xml:space="preserve">
DIVIDE(
    SUMX(
        'auto_loan_securitisation_data',
        'auto_loan_securitisation_data'[RemainingTerm]
            * 'auto_loan_securitisation_data'[CurrentBalance]
    ),
    SUM('auto_loan_securitisation_data'[CurrentBalance])
)</t>
  </si>
  <si>
    <t>Waterfall Allocation Check</t>
  </si>
  <si>
    <t xml:space="preserve">
[Senior Tranche Allocation]
    + [Mezzanine Tranche Allocation]
    + [Equity Residual Allocation]</t>
  </si>
  <si>
    <t>Weighted Average CIBIL</t>
  </si>
  <si>
    <t xml:space="preserve">
DIVIDE(
    SUMX(
        'auto_loan_securitisation_data',
        'auto_loan_securitisation_data'[CIBIL_Score_Current]
            * 'auto_loan_securitisation_data'[CurrentBalance]
    ),
    SUM('auto_loan_securitisation_data'[CurrentBalance])
)</t>
  </si>
  <si>
    <t>Weighted Average DTI</t>
  </si>
  <si>
    <t xml:space="preserve">
DIVIDE(
    SUMX(
        'auto_loan_securitisation_data',
        'auto_loan_securitisation_data'[DTI_Ratio]
            * 'auto_loan_securitisation_data'[CurrentBalance]
    ),
    SUM('auto_loan_securitisation_data'[CurrentBalance])
) </t>
  </si>
  <si>
    <t>Weighted Average LTV</t>
  </si>
  <si>
    <t xml:space="preserve">
DIVIDE(
    SUMX(
        'auto_loan_securitisation_data',
        'auto_loan_securitisation_data'[LTV_Current]
            * 'auto_loan_securitisation_data'[CurrentBalance]
    ),
    SUM('auto_loan_securitisation_data'[CurrentBalance])
)</t>
  </si>
  <si>
    <t>Weighted Average Monthly EMI</t>
  </si>
  <si>
    <t xml:space="preserve">
DIVIDE(
    SUMX(
        'auto_loan_securitisation_data',
        'auto_loan_securitisation_data'[MonthlyEMI]
            * 'auto_loan_securitisation_data'[CurrentBalance]
    ),
    SUM('auto_loan_securitisation_data'[CurrentBalance])
)</t>
  </si>
  <si>
    <t>Weighted Average Origination LTV</t>
  </si>
  <si>
    <t xml:space="preserve">
DIVIDE(
    SUMX(
        'auto_loan_securitisation_data',
        'auto_loan_securitisation_data'[LTV_AtOrigination]
            * 'auto_loan_securitisation_data'[CurrentBalance]
    ),
    SUM('auto_loan_securitisation_data'[CurrentBalance])
)</t>
  </si>
  <si>
    <t>Test</t>
  </si>
  <si>
    <t>Waterfall Validation Query</t>
  </si>
  <si>
    <t>Total Time(ms)</t>
  </si>
  <si>
    <t>Status</t>
  </si>
  <si>
    <t>ECL Calculation Query</t>
  </si>
  <si>
    <t>Stress Testing Query</t>
  </si>
  <si>
    <t>Delinquency Reporting</t>
  </si>
  <si>
    <t>Collection / Portfolio Quality</t>
  </si>
  <si>
    <t>Waterfall &amp; Trigger Status</t>
  </si>
  <si>
    <t>ECL Calculation</t>
  </si>
  <si>
    <t xml:space="preserve">Stress Testing </t>
  </si>
  <si>
    <t>Vehicle Portfolio Quality</t>
  </si>
  <si>
    <t>Prepayment</t>
  </si>
  <si>
    <t>Total Portfolio Query</t>
  </si>
  <si>
    <t>DPD Performance Query</t>
  </si>
  <si>
    <t>IFRS 9 / ECL Query</t>
  </si>
  <si>
    <t>Loss &amp; Recovery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</si>
</sst>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3CF420-6407-4A83-824A-FA5924C189F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3015D-412C-4405-B434-A36AA7CAC083}" name="DAX_Measure_Directory" displayName="DAX_Measure_Directory" ref="A1:B115" tableType="queryTable" totalsRowShown="0">
  <autoFilter ref="A1:B115" xr:uid="{EDE3015D-412C-4405-B434-A36AA7CAC083}"/>
  <tableColumns count="2">
    <tableColumn id="1" xr3:uid="{65F2CDCD-765B-449E-AA12-6A87D72FC24E}" uniqueName="1" name="Column1" queryTableFieldId="1" dataDxfId="1"/>
    <tableColumn id="2" xr3:uid="{3D7D8AEF-94DA-42CD-BCC7-F560E134132E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7983-B002-4A5C-8B41-2F7FEC34BD31}">
  <dimension ref="A1:AF501"/>
  <sheetViews>
    <sheetView workbookViewId="0">
      <selection activeCell="Z1" sqref="Z1:Z1048576"/>
    </sheetView>
  </sheetViews>
  <sheetFormatPr defaultRowHeight="14.4" x14ac:dyDescent="0.3"/>
  <cols>
    <col min="17" max="17" width="15.44140625" bestFit="1" customWidth="1"/>
    <col min="18" max="18" width="11.88671875" bestFit="1" customWidth="1"/>
    <col min="19" max="19" width="12.109375" bestFit="1" customWidth="1"/>
    <col min="20" max="20" width="11" bestFit="1" customWidth="1"/>
    <col min="21" max="21" width="21" bestFit="1" customWidth="1"/>
    <col min="22" max="22" width="18.109375" bestFit="1" customWidth="1"/>
    <col min="23" max="23" width="15.21875" bestFit="1" customWidth="1"/>
    <col min="24" max="24" width="23.109375" bestFit="1" customWidth="1"/>
    <col min="25" max="25" width="9.109375" bestFit="1" customWidth="1"/>
    <col min="26" max="26" width="12.21875" bestFit="1" customWidth="1"/>
    <col min="29" max="29" width="9.21875" bestFit="1" customWidth="1"/>
    <col min="30" max="30" width="26.109375" bestFit="1" customWidth="1"/>
    <col min="31" max="31" width="9.6640625" bestFit="1" customWidth="1"/>
    <col min="32" max="32" width="24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1127</v>
      </c>
      <c r="Y1" t="s">
        <v>1129</v>
      </c>
      <c r="Z1" t="s">
        <v>1130</v>
      </c>
      <c r="AA1" t="s">
        <v>23</v>
      </c>
      <c r="AB1" t="s">
        <v>24</v>
      </c>
      <c r="AC1" t="s">
        <v>25</v>
      </c>
      <c r="AD1" t="s">
        <v>1128</v>
      </c>
      <c r="AE1" t="s">
        <v>26</v>
      </c>
      <c r="AF1" t="s">
        <v>27</v>
      </c>
    </row>
    <row r="2" spans="1:32" x14ac:dyDescent="0.3">
      <c r="A2" t="s">
        <v>28</v>
      </c>
      <c r="B2" t="s">
        <v>29</v>
      </c>
      <c r="C2" t="s">
        <v>30</v>
      </c>
      <c r="D2" t="s">
        <v>31</v>
      </c>
      <c r="E2">
        <v>1397200</v>
      </c>
      <c r="F2">
        <v>60</v>
      </c>
      <c r="G2">
        <v>10.63</v>
      </c>
      <c r="H2">
        <v>437687.74</v>
      </c>
      <c r="I2">
        <v>0</v>
      </c>
      <c r="J2">
        <v>0</v>
      </c>
      <c r="K2">
        <v>0</v>
      </c>
      <c r="L2">
        <v>1</v>
      </c>
      <c r="M2">
        <v>142117484.08000001</v>
      </c>
      <c r="N2" s="1">
        <v>45596</v>
      </c>
      <c r="O2" t="s">
        <v>32</v>
      </c>
      <c r="P2" t="s">
        <v>33</v>
      </c>
      <c r="Q2" s="1">
        <v>44356</v>
      </c>
      <c r="R2" t="s">
        <v>34</v>
      </c>
      <c r="S2" t="s">
        <v>35</v>
      </c>
      <c r="T2">
        <v>2021</v>
      </c>
      <c r="U2">
        <v>650</v>
      </c>
      <c r="V2">
        <v>606</v>
      </c>
      <c r="W2" t="s">
        <v>36</v>
      </c>
      <c r="X2">
        <v>1075000</v>
      </c>
      <c r="Y2">
        <v>0.3362</v>
      </c>
      <c r="Z2">
        <v>29</v>
      </c>
      <c r="AA2" t="s">
        <v>37</v>
      </c>
      <c r="AB2" t="s">
        <v>38</v>
      </c>
      <c r="AC2" t="s">
        <v>39</v>
      </c>
      <c r="AD2">
        <v>30121.34</v>
      </c>
      <c r="AE2" t="b">
        <v>0</v>
      </c>
      <c r="AF2">
        <v>738279.51</v>
      </c>
    </row>
    <row r="3" spans="1:32" x14ac:dyDescent="0.3">
      <c r="A3" t="s">
        <v>40</v>
      </c>
      <c r="B3" t="s">
        <v>41</v>
      </c>
      <c r="C3" t="s">
        <v>42</v>
      </c>
      <c r="D3" t="s">
        <v>43</v>
      </c>
      <c r="E3">
        <v>321100</v>
      </c>
      <c r="F3">
        <v>48</v>
      </c>
      <c r="G3">
        <v>13.43</v>
      </c>
      <c r="H3">
        <v>247796.7</v>
      </c>
      <c r="I3">
        <v>0</v>
      </c>
      <c r="J3">
        <v>0</v>
      </c>
      <c r="K3">
        <v>0</v>
      </c>
      <c r="L3">
        <v>1</v>
      </c>
      <c r="M3">
        <v>142117484.08000001</v>
      </c>
      <c r="N3" s="1">
        <v>45596</v>
      </c>
      <c r="O3" t="s">
        <v>32</v>
      </c>
      <c r="P3" t="s">
        <v>44</v>
      </c>
      <c r="Q3" s="1">
        <v>45355</v>
      </c>
      <c r="R3" t="s">
        <v>45</v>
      </c>
      <c r="S3" t="s">
        <v>46</v>
      </c>
      <c r="T3">
        <v>2022</v>
      </c>
      <c r="U3">
        <v>650</v>
      </c>
      <c r="V3">
        <v>654</v>
      </c>
      <c r="W3" t="s">
        <v>36</v>
      </c>
      <c r="X3">
        <v>4486000</v>
      </c>
      <c r="Y3">
        <v>2.3199999999999998E-2</v>
      </c>
      <c r="Z3">
        <v>56</v>
      </c>
      <c r="AA3" t="s">
        <v>47</v>
      </c>
      <c r="AB3" t="s">
        <v>38</v>
      </c>
      <c r="AC3" t="s">
        <v>39</v>
      </c>
      <c r="AD3">
        <v>8683</v>
      </c>
      <c r="AE3" t="b">
        <v>0</v>
      </c>
      <c r="AF3">
        <v>359076.48</v>
      </c>
    </row>
    <row r="4" spans="1:32" x14ac:dyDescent="0.3">
      <c r="A4" t="s">
        <v>48</v>
      </c>
      <c r="B4" t="s">
        <v>49</v>
      </c>
      <c r="C4" t="s">
        <v>42</v>
      </c>
      <c r="D4" t="s">
        <v>31</v>
      </c>
      <c r="E4">
        <v>557300</v>
      </c>
      <c r="F4">
        <v>48</v>
      </c>
      <c r="G4">
        <v>14.11</v>
      </c>
      <c r="H4">
        <v>85895.44</v>
      </c>
      <c r="I4">
        <v>0</v>
      </c>
      <c r="J4">
        <v>0</v>
      </c>
      <c r="K4">
        <v>0</v>
      </c>
      <c r="L4">
        <v>1</v>
      </c>
      <c r="M4">
        <v>142117484.08000001</v>
      </c>
      <c r="N4" s="1">
        <v>45596</v>
      </c>
      <c r="O4" t="s">
        <v>32</v>
      </c>
      <c r="P4" t="s">
        <v>50</v>
      </c>
      <c r="Q4" s="1">
        <v>44375</v>
      </c>
      <c r="R4" t="s">
        <v>51</v>
      </c>
      <c r="S4" t="s">
        <v>52</v>
      </c>
      <c r="T4">
        <v>2021</v>
      </c>
      <c r="U4">
        <v>652</v>
      </c>
      <c r="V4">
        <v>656</v>
      </c>
      <c r="W4" t="s">
        <v>36</v>
      </c>
      <c r="X4">
        <v>2769000</v>
      </c>
      <c r="Y4">
        <v>6.6100000000000006E-2</v>
      </c>
      <c r="Z4">
        <v>30</v>
      </c>
      <c r="AA4" t="s">
        <v>53</v>
      </c>
      <c r="AB4" t="s">
        <v>38</v>
      </c>
      <c r="AC4" t="s">
        <v>54</v>
      </c>
      <c r="AD4">
        <v>15259.81</v>
      </c>
      <c r="AE4" t="b">
        <v>1</v>
      </c>
      <c r="AF4">
        <v>479299.12</v>
      </c>
    </row>
    <row r="5" spans="1:32" x14ac:dyDescent="0.3">
      <c r="A5" t="s">
        <v>55</v>
      </c>
      <c r="B5" t="s">
        <v>56</v>
      </c>
      <c r="C5" t="s">
        <v>30</v>
      </c>
      <c r="D5" t="s">
        <v>31</v>
      </c>
      <c r="E5">
        <v>477600</v>
      </c>
      <c r="F5">
        <v>72</v>
      </c>
      <c r="G5">
        <v>11.39</v>
      </c>
      <c r="H5">
        <v>195521.11</v>
      </c>
      <c r="I5">
        <v>0</v>
      </c>
      <c r="J5">
        <v>0</v>
      </c>
      <c r="K5">
        <v>0</v>
      </c>
      <c r="L5">
        <v>1</v>
      </c>
      <c r="M5">
        <v>142117484.08000001</v>
      </c>
      <c r="N5" s="1">
        <v>45596</v>
      </c>
      <c r="O5" t="s">
        <v>32</v>
      </c>
      <c r="P5" t="s">
        <v>50</v>
      </c>
      <c r="Q5" s="1">
        <v>44297</v>
      </c>
      <c r="R5" t="s">
        <v>51</v>
      </c>
      <c r="S5" t="s">
        <v>52</v>
      </c>
      <c r="T5">
        <v>2021</v>
      </c>
      <c r="U5">
        <v>653</v>
      </c>
      <c r="V5">
        <v>610</v>
      </c>
      <c r="W5" t="s">
        <v>57</v>
      </c>
      <c r="X5">
        <v>763000</v>
      </c>
      <c r="Y5">
        <v>0.14449999999999999</v>
      </c>
      <c r="Z5">
        <v>54</v>
      </c>
      <c r="AA5" t="s">
        <v>58</v>
      </c>
      <c r="AB5" t="s">
        <v>38</v>
      </c>
      <c r="AC5" t="s">
        <v>39</v>
      </c>
      <c r="AD5">
        <v>9186.36</v>
      </c>
      <c r="AE5" t="b">
        <v>0</v>
      </c>
      <c r="AF5">
        <v>290716.58</v>
      </c>
    </row>
    <row r="6" spans="1:32" x14ac:dyDescent="0.3">
      <c r="A6" t="s">
        <v>59</v>
      </c>
      <c r="B6" t="s">
        <v>60</v>
      </c>
      <c r="C6" t="s">
        <v>30</v>
      </c>
      <c r="D6" t="s">
        <v>31</v>
      </c>
      <c r="E6">
        <v>1308200</v>
      </c>
      <c r="F6">
        <v>36</v>
      </c>
      <c r="G6">
        <v>12.74</v>
      </c>
      <c r="H6">
        <v>0</v>
      </c>
      <c r="I6">
        <v>0</v>
      </c>
      <c r="J6">
        <v>0</v>
      </c>
      <c r="K6">
        <v>0</v>
      </c>
      <c r="L6">
        <v>1</v>
      </c>
      <c r="M6">
        <v>142117484.08000001</v>
      </c>
      <c r="N6" s="1">
        <v>45596</v>
      </c>
      <c r="O6" t="s">
        <v>32</v>
      </c>
      <c r="P6" t="s">
        <v>33</v>
      </c>
      <c r="Q6" s="1">
        <v>44466</v>
      </c>
      <c r="R6" t="s">
        <v>61</v>
      </c>
      <c r="S6" t="s">
        <v>62</v>
      </c>
      <c r="T6">
        <v>2021</v>
      </c>
      <c r="U6">
        <v>653</v>
      </c>
      <c r="V6">
        <v>621</v>
      </c>
      <c r="W6" t="s">
        <v>63</v>
      </c>
      <c r="X6">
        <v>4904000</v>
      </c>
      <c r="Y6">
        <v>0.1075</v>
      </c>
      <c r="Z6">
        <v>28</v>
      </c>
      <c r="AA6" t="s">
        <v>64</v>
      </c>
      <c r="AB6" t="s">
        <v>38</v>
      </c>
      <c r="AC6" t="s">
        <v>54</v>
      </c>
      <c r="AD6">
        <v>43914.78</v>
      </c>
      <c r="AE6" t="b">
        <v>0</v>
      </c>
      <c r="AF6">
        <v>851025.01</v>
      </c>
    </row>
    <row r="7" spans="1:32" x14ac:dyDescent="0.3">
      <c r="A7" t="s">
        <v>65</v>
      </c>
      <c r="B7" t="s">
        <v>66</v>
      </c>
      <c r="C7" t="s">
        <v>67</v>
      </c>
      <c r="D7" t="s">
        <v>31</v>
      </c>
      <c r="E7">
        <v>1721100</v>
      </c>
      <c r="F7">
        <v>72</v>
      </c>
      <c r="G7">
        <v>7.89</v>
      </c>
      <c r="H7">
        <v>1103016.46</v>
      </c>
      <c r="I7">
        <v>0</v>
      </c>
      <c r="J7">
        <v>0</v>
      </c>
      <c r="K7">
        <v>0</v>
      </c>
      <c r="L7">
        <v>1</v>
      </c>
      <c r="M7">
        <v>142117484.08000001</v>
      </c>
      <c r="N7" s="1">
        <v>45596</v>
      </c>
      <c r="O7" t="s">
        <v>32</v>
      </c>
      <c r="P7" t="s">
        <v>44</v>
      </c>
      <c r="Q7" s="1">
        <v>44842</v>
      </c>
      <c r="R7" t="s">
        <v>68</v>
      </c>
      <c r="S7" t="s">
        <v>69</v>
      </c>
      <c r="T7">
        <v>2022</v>
      </c>
      <c r="U7">
        <v>654</v>
      </c>
      <c r="V7">
        <v>629</v>
      </c>
      <c r="W7" t="s">
        <v>70</v>
      </c>
      <c r="X7">
        <v>3905000</v>
      </c>
      <c r="Y7">
        <v>9.2399999999999996E-2</v>
      </c>
      <c r="Z7">
        <v>32</v>
      </c>
      <c r="AA7" t="s">
        <v>71</v>
      </c>
      <c r="AB7" t="s">
        <v>38</v>
      </c>
      <c r="AC7" t="s">
        <v>54</v>
      </c>
      <c r="AD7">
        <v>30084.1</v>
      </c>
      <c r="AE7" t="b">
        <v>0</v>
      </c>
      <c r="AF7">
        <v>2215349.81</v>
      </c>
    </row>
    <row r="8" spans="1:32" x14ac:dyDescent="0.3">
      <c r="A8" t="s">
        <v>72</v>
      </c>
      <c r="B8" t="s">
        <v>73</v>
      </c>
      <c r="C8" t="s">
        <v>67</v>
      </c>
      <c r="D8" t="s">
        <v>31</v>
      </c>
      <c r="E8">
        <v>1902700</v>
      </c>
      <c r="F8">
        <v>60</v>
      </c>
      <c r="G8">
        <v>10.78</v>
      </c>
      <c r="H8">
        <v>583916.13</v>
      </c>
      <c r="I8">
        <v>0</v>
      </c>
      <c r="J8">
        <v>0</v>
      </c>
      <c r="K8">
        <v>0</v>
      </c>
      <c r="L8">
        <v>1</v>
      </c>
      <c r="M8">
        <v>142117484.08000001</v>
      </c>
      <c r="N8" s="1">
        <v>45596</v>
      </c>
      <c r="O8" t="s">
        <v>32</v>
      </c>
      <c r="P8" t="s">
        <v>74</v>
      </c>
      <c r="Q8" s="1">
        <v>44336</v>
      </c>
      <c r="R8" t="s">
        <v>61</v>
      </c>
      <c r="S8" t="s">
        <v>75</v>
      </c>
      <c r="T8">
        <v>2021</v>
      </c>
      <c r="U8">
        <v>655</v>
      </c>
      <c r="V8">
        <v>622</v>
      </c>
      <c r="W8" t="s">
        <v>36</v>
      </c>
      <c r="X8">
        <v>3890000</v>
      </c>
      <c r="Y8">
        <v>0.127</v>
      </c>
      <c r="Z8">
        <v>37</v>
      </c>
      <c r="AA8" t="s">
        <v>76</v>
      </c>
      <c r="AB8" t="s">
        <v>38</v>
      </c>
      <c r="AC8" t="s">
        <v>54</v>
      </c>
      <c r="AD8">
        <v>41160.86</v>
      </c>
      <c r="AE8" t="b">
        <v>0</v>
      </c>
      <c r="AF8">
        <v>1369313.76</v>
      </c>
    </row>
    <row r="9" spans="1:32" x14ac:dyDescent="0.3">
      <c r="A9" t="s">
        <v>77</v>
      </c>
      <c r="B9" t="s">
        <v>78</v>
      </c>
      <c r="C9" t="s">
        <v>42</v>
      </c>
      <c r="D9" t="s">
        <v>31</v>
      </c>
      <c r="E9">
        <v>347800</v>
      </c>
      <c r="F9">
        <v>60</v>
      </c>
      <c r="G9">
        <v>12.58</v>
      </c>
      <c r="H9">
        <v>232496.18</v>
      </c>
      <c r="I9">
        <v>0</v>
      </c>
      <c r="J9">
        <v>0</v>
      </c>
      <c r="K9">
        <v>0</v>
      </c>
      <c r="L9">
        <v>1</v>
      </c>
      <c r="M9">
        <v>142117484.08000001</v>
      </c>
      <c r="N9" s="1">
        <v>45596</v>
      </c>
      <c r="O9" t="s">
        <v>32</v>
      </c>
      <c r="P9" t="s">
        <v>50</v>
      </c>
      <c r="Q9" s="1">
        <v>45015</v>
      </c>
      <c r="R9" t="s">
        <v>51</v>
      </c>
      <c r="S9" t="s">
        <v>79</v>
      </c>
      <c r="T9">
        <v>2023</v>
      </c>
      <c r="U9">
        <v>655</v>
      </c>
      <c r="V9">
        <v>636</v>
      </c>
      <c r="W9" t="s">
        <v>70</v>
      </c>
      <c r="X9">
        <v>1699000</v>
      </c>
      <c r="Y9">
        <v>5.5399999999999998E-2</v>
      </c>
      <c r="Z9">
        <v>42</v>
      </c>
      <c r="AA9" t="s">
        <v>80</v>
      </c>
      <c r="AB9" t="s">
        <v>38</v>
      </c>
      <c r="AC9" t="s">
        <v>81</v>
      </c>
      <c r="AD9">
        <v>7838.94</v>
      </c>
      <c r="AE9" t="b">
        <v>0</v>
      </c>
      <c r="AF9">
        <v>381537.73</v>
      </c>
    </row>
    <row r="10" spans="1:32" x14ac:dyDescent="0.3">
      <c r="A10" t="s">
        <v>82</v>
      </c>
      <c r="B10" t="s">
        <v>83</v>
      </c>
      <c r="C10" t="s">
        <v>30</v>
      </c>
      <c r="D10" t="s">
        <v>84</v>
      </c>
      <c r="E10">
        <v>692300</v>
      </c>
      <c r="F10">
        <v>72</v>
      </c>
      <c r="G10">
        <v>10.119999999999999</v>
      </c>
      <c r="H10">
        <v>456759.49</v>
      </c>
      <c r="I10">
        <v>0</v>
      </c>
      <c r="J10">
        <v>0</v>
      </c>
      <c r="K10">
        <v>0</v>
      </c>
      <c r="L10">
        <v>1</v>
      </c>
      <c r="M10">
        <v>142117484.08000001</v>
      </c>
      <c r="N10" s="1">
        <v>45596</v>
      </c>
      <c r="O10" t="s">
        <v>32</v>
      </c>
      <c r="P10" t="s">
        <v>33</v>
      </c>
      <c r="Q10" s="1">
        <v>44876</v>
      </c>
      <c r="R10" t="s">
        <v>85</v>
      </c>
      <c r="S10" t="s">
        <v>86</v>
      </c>
      <c r="T10">
        <v>2019</v>
      </c>
      <c r="U10">
        <v>656</v>
      </c>
      <c r="V10">
        <v>667</v>
      </c>
      <c r="W10" t="s">
        <v>63</v>
      </c>
      <c r="X10">
        <v>1921000</v>
      </c>
      <c r="Y10">
        <v>8.0399999999999999E-2</v>
      </c>
      <c r="Z10">
        <v>60</v>
      </c>
      <c r="AA10" t="s">
        <v>47</v>
      </c>
      <c r="AB10" t="s">
        <v>38</v>
      </c>
      <c r="AC10" t="s">
        <v>39</v>
      </c>
      <c r="AD10">
        <v>12867.37</v>
      </c>
      <c r="AE10" t="b">
        <v>0</v>
      </c>
      <c r="AF10">
        <v>564498.22</v>
      </c>
    </row>
    <row r="11" spans="1:32" x14ac:dyDescent="0.3">
      <c r="A11" t="s">
        <v>87</v>
      </c>
      <c r="B11" t="s">
        <v>88</v>
      </c>
      <c r="C11" t="s">
        <v>67</v>
      </c>
      <c r="D11" t="s">
        <v>31</v>
      </c>
      <c r="E11">
        <v>2191000</v>
      </c>
      <c r="F11">
        <v>36</v>
      </c>
      <c r="G11">
        <v>12.18</v>
      </c>
      <c r="H11">
        <v>752707.78</v>
      </c>
      <c r="I11">
        <v>0</v>
      </c>
      <c r="J11">
        <v>0</v>
      </c>
      <c r="K11">
        <v>0</v>
      </c>
      <c r="L11">
        <v>1</v>
      </c>
      <c r="M11">
        <v>142117484.08000001</v>
      </c>
      <c r="N11" s="1">
        <v>45596</v>
      </c>
      <c r="O11" t="s">
        <v>32</v>
      </c>
      <c r="P11" t="s">
        <v>33</v>
      </c>
      <c r="Q11" s="1">
        <v>44887</v>
      </c>
      <c r="R11" t="s">
        <v>89</v>
      </c>
      <c r="S11" t="s">
        <v>90</v>
      </c>
      <c r="T11">
        <v>2022</v>
      </c>
      <c r="U11">
        <v>656</v>
      </c>
      <c r="V11">
        <v>675</v>
      </c>
      <c r="W11" t="s">
        <v>57</v>
      </c>
      <c r="X11">
        <v>1509000</v>
      </c>
      <c r="Y11">
        <v>0.58020000000000005</v>
      </c>
      <c r="Z11">
        <v>39</v>
      </c>
      <c r="AA11" t="s">
        <v>91</v>
      </c>
      <c r="AB11" t="s">
        <v>38</v>
      </c>
      <c r="AC11" t="s">
        <v>81</v>
      </c>
      <c r="AD11">
        <v>72961.06</v>
      </c>
      <c r="AE11" t="b">
        <v>0</v>
      </c>
      <c r="AF11">
        <v>1960596.07</v>
      </c>
    </row>
    <row r="12" spans="1:32" x14ac:dyDescent="0.3">
      <c r="A12" t="s">
        <v>92</v>
      </c>
      <c r="B12" t="s">
        <v>93</v>
      </c>
      <c r="C12" t="s">
        <v>67</v>
      </c>
      <c r="D12" t="s">
        <v>84</v>
      </c>
      <c r="E12">
        <v>352300</v>
      </c>
      <c r="F12">
        <v>48</v>
      </c>
      <c r="G12">
        <v>11</v>
      </c>
      <c r="H12">
        <v>320213.96000000002</v>
      </c>
      <c r="I12">
        <v>0</v>
      </c>
      <c r="J12">
        <v>0</v>
      </c>
      <c r="K12">
        <v>0</v>
      </c>
      <c r="L12">
        <v>1</v>
      </c>
      <c r="M12">
        <v>142117484.08000001</v>
      </c>
      <c r="N12" s="1">
        <v>45596</v>
      </c>
      <c r="O12" t="s">
        <v>32</v>
      </c>
      <c r="P12" t="s">
        <v>74</v>
      </c>
      <c r="Q12" s="1">
        <v>45517</v>
      </c>
      <c r="R12" t="s">
        <v>94</v>
      </c>
      <c r="S12" t="s">
        <v>95</v>
      </c>
      <c r="T12">
        <v>2022</v>
      </c>
      <c r="U12">
        <v>656</v>
      </c>
      <c r="V12">
        <v>659</v>
      </c>
      <c r="W12" t="s">
        <v>57</v>
      </c>
      <c r="X12">
        <v>1153000</v>
      </c>
      <c r="Y12">
        <v>9.4799999999999995E-2</v>
      </c>
      <c r="Z12">
        <v>47</v>
      </c>
      <c r="AA12" t="s">
        <v>53</v>
      </c>
      <c r="AB12" t="s">
        <v>38</v>
      </c>
      <c r="AC12" t="s">
        <v>39</v>
      </c>
      <c r="AD12">
        <v>9105.3799999999992</v>
      </c>
      <c r="AE12" t="b">
        <v>0</v>
      </c>
      <c r="AF12">
        <v>480941.44</v>
      </c>
    </row>
    <row r="13" spans="1:32" x14ac:dyDescent="0.3">
      <c r="A13" t="s">
        <v>96</v>
      </c>
      <c r="B13" t="s">
        <v>97</v>
      </c>
      <c r="C13" t="s">
        <v>98</v>
      </c>
      <c r="D13" t="s">
        <v>31</v>
      </c>
      <c r="E13">
        <v>1189400</v>
      </c>
      <c r="F13">
        <v>60</v>
      </c>
      <c r="G13">
        <v>14.44</v>
      </c>
      <c r="H13">
        <v>308114.76</v>
      </c>
      <c r="I13">
        <v>0</v>
      </c>
      <c r="J13">
        <v>0</v>
      </c>
      <c r="K13">
        <v>0</v>
      </c>
      <c r="L13">
        <v>1</v>
      </c>
      <c r="M13">
        <v>142117484.08000001</v>
      </c>
      <c r="N13" s="1">
        <v>45596</v>
      </c>
      <c r="O13" t="s">
        <v>32</v>
      </c>
      <c r="P13" t="s">
        <v>33</v>
      </c>
      <c r="Q13" s="1">
        <v>44268</v>
      </c>
      <c r="R13" t="s">
        <v>99</v>
      </c>
      <c r="S13" t="s">
        <v>100</v>
      </c>
      <c r="T13">
        <v>2021</v>
      </c>
      <c r="U13">
        <v>656</v>
      </c>
      <c r="V13">
        <v>609</v>
      </c>
      <c r="W13" t="s">
        <v>57</v>
      </c>
      <c r="X13">
        <v>881000</v>
      </c>
      <c r="Y13">
        <v>0.38069999999999998</v>
      </c>
      <c r="Z13">
        <v>51</v>
      </c>
      <c r="AA13" t="s">
        <v>53</v>
      </c>
      <c r="AB13" t="s">
        <v>38</v>
      </c>
      <c r="AC13" t="s">
        <v>39</v>
      </c>
      <c r="AD13">
        <v>27947.32</v>
      </c>
      <c r="AE13" t="b">
        <v>0</v>
      </c>
      <c r="AF13">
        <v>805901.14</v>
      </c>
    </row>
    <row r="14" spans="1:32" x14ac:dyDescent="0.3">
      <c r="A14" t="s">
        <v>101</v>
      </c>
      <c r="B14" t="s">
        <v>102</v>
      </c>
      <c r="C14" t="s">
        <v>103</v>
      </c>
      <c r="D14" t="s">
        <v>43</v>
      </c>
      <c r="E14">
        <v>688400</v>
      </c>
      <c r="F14">
        <v>60</v>
      </c>
      <c r="G14">
        <v>9.99</v>
      </c>
      <c r="H14">
        <v>488083.65</v>
      </c>
      <c r="I14">
        <v>0</v>
      </c>
      <c r="J14">
        <v>0</v>
      </c>
      <c r="K14">
        <v>0</v>
      </c>
      <c r="L14">
        <v>1</v>
      </c>
      <c r="M14">
        <v>142117484.08000001</v>
      </c>
      <c r="N14" s="1">
        <v>45596</v>
      </c>
      <c r="O14" t="s">
        <v>32</v>
      </c>
      <c r="P14" t="s">
        <v>44</v>
      </c>
      <c r="Q14" s="1">
        <v>45134</v>
      </c>
      <c r="R14" t="s">
        <v>94</v>
      </c>
      <c r="S14" t="s">
        <v>95</v>
      </c>
      <c r="T14">
        <v>2018</v>
      </c>
      <c r="U14">
        <v>657</v>
      </c>
      <c r="V14">
        <v>678</v>
      </c>
      <c r="W14" t="s">
        <v>57</v>
      </c>
      <c r="X14">
        <v>2685000</v>
      </c>
      <c r="Y14">
        <v>6.54E-2</v>
      </c>
      <c r="Z14">
        <v>40</v>
      </c>
      <c r="AA14" t="s">
        <v>104</v>
      </c>
      <c r="AB14" t="s">
        <v>38</v>
      </c>
      <c r="AC14" t="s">
        <v>54</v>
      </c>
      <c r="AD14">
        <v>14623.08</v>
      </c>
      <c r="AE14" t="b">
        <v>0</v>
      </c>
      <c r="AF14">
        <v>888100.8</v>
      </c>
    </row>
    <row r="15" spans="1:32" x14ac:dyDescent="0.3">
      <c r="A15" t="s">
        <v>105</v>
      </c>
      <c r="B15" t="s">
        <v>106</v>
      </c>
      <c r="C15" t="s">
        <v>30</v>
      </c>
      <c r="D15" t="s">
        <v>31</v>
      </c>
      <c r="E15">
        <v>1175100</v>
      </c>
      <c r="F15">
        <v>60</v>
      </c>
      <c r="G15">
        <v>12.56</v>
      </c>
      <c r="H15">
        <v>293272.78000000003</v>
      </c>
      <c r="I15">
        <v>0</v>
      </c>
      <c r="J15">
        <v>0</v>
      </c>
      <c r="K15">
        <v>0</v>
      </c>
      <c r="L15">
        <v>1</v>
      </c>
      <c r="M15">
        <v>142117484.08000001</v>
      </c>
      <c r="N15" s="1">
        <v>45596</v>
      </c>
      <c r="O15" t="s">
        <v>32</v>
      </c>
      <c r="P15" t="s">
        <v>74</v>
      </c>
      <c r="Q15" s="1">
        <v>44243</v>
      </c>
      <c r="R15" t="s">
        <v>45</v>
      </c>
      <c r="S15" t="s">
        <v>107</v>
      </c>
      <c r="T15">
        <v>2021</v>
      </c>
      <c r="U15">
        <v>657</v>
      </c>
      <c r="V15">
        <v>633</v>
      </c>
      <c r="W15" t="s">
        <v>36</v>
      </c>
      <c r="X15">
        <v>885000</v>
      </c>
      <c r="Y15">
        <v>0.35899999999999999</v>
      </c>
      <c r="Z15">
        <v>37</v>
      </c>
      <c r="AA15" t="s">
        <v>108</v>
      </c>
      <c r="AB15" t="s">
        <v>38</v>
      </c>
      <c r="AC15" t="s">
        <v>39</v>
      </c>
      <c r="AD15">
        <v>26473.200000000001</v>
      </c>
      <c r="AE15" t="b">
        <v>0</v>
      </c>
      <c r="AF15">
        <v>906904.79</v>
      </c>
    </row>
    <row r="16" spans="1:32" x14ac:dyDescent="0.3">
      <c r="A16" t="s">
        <v>109</v>
      </c>
      <c r="B16" t="s">
        <v>110</v>
      </c>
      <c r="C16" t="s">
        <v>67</v>
      </c>
      <c r="D16" t="s">
        <v>31</v>
      </c>
      <c r="E16">
        <v>741900</v>
      </c>
      <c r="F16">
        <v>48</v>
      </c>
      <c r="G16">
        <v>8.27</v>
      </c>
      <c r="H16">
        <v>466276.71</v>
      </c>
      <c r="I16">
        <v>105</v>
      </c>
      <c r="J16">
        <v>0</v>
      </c>
      <c r="K16">
        <v>0</v>
      </c>
      <c r="L16">
        <v>3</v>
      </c>
      <c r="M16">
        <v>142117484.08000001</v>
      </c>
      <c r="N16" s="1">
        <v>45596</v>
      </c>
      <c r="O16" t="s">
        <v>111</v>
      </c>
      <c r="P16" t="s">
        <v>33</v>
      </c>
      <c r="Q16" s="1">
        <v>45096</v>
      </c>
      <c r="R16" t="s">
        <v>89</v>
      </c>
      <c r="S16" t="s">
        <v>112</v>
      </c>
      <c r="T16">
        <v>2023</v>
      </c>
      <c r="U16">
        <v>658</v>
      </c>
      <c r="V16">
        <v>628</v>
      </c>
      <c r="W16" t="s">
        <v>70</v>
      </c>
      <c r="X16">
        <v>3796000</v>
      </c>
      <c r="Y16">
        <v>5.7599999999999998E-2</v>
      </c>
      <c r="Z16">
        <v>48</v>
      </c>
      <c r="AA16" t="s">
        <v>113</v>
      </c>
      <c r="AB16" t="s">
        <v>38</v>
      </c>
      <c r="AC16" t="s">
        <v>54</v>
      </c>
      <c r="AD16">
        <v>18206.12</v>
      </c>
      <c r="AE16" t="b">
        <v>0</v>
      </c>
      <c r="AF16">
        <v>600257.46</v>
      </c>
    </row>
    <row r="17" spans="1:32" x14ac:dyDescent="0.3">
      <c r="A17" t="s">
        <v>114</v>
      </c>
      <c r="B17" t="s">
        <v>115</v>
      </c>
      <c r="C17" t="s">
        <v>103</v>
      </c>
      <c r="D17" t="s">
        <v>84</v>
      </c>
      <c r="E17">
        <v>740900</v>
      </c>
      <c r="F17">
        <v>72</v>
      </c>
      <c r="G17">
        <v>8.48</v>
      </c>
      <c r="H17">
        <v>610021.93999999994</v>
      </c>
      <c r="I17">
        <v>35</v>
      </c>
      <c r="J17">
        <v>0</v>
      </c>
      <c r="K17">
        <v>0</v>
      </c>
      <c r="L17">
        <v>2</v>
      </c>
      <c r="M17">
        <v>142117484.08000001</v>
      </c>
      <c r="N17" s="1">
        <v>45596</v>
      </c>
      <c r="O17" t="s">
        <v>116</v>
      </c>
      <c r="P17" t="s">
        <v>44</v>
      </c>
      <c r="Q17" s="1">
        <v>45228</v>
      </c>
      <c r="R17" t="s">
        <v>94</v>
      </c>
      <c r="S17" t="s">
        <v>117</v>
      </c>
      <c r="T17">
        <v>2021</v>
      </c>
      <c r="U17">
        <v>658</v>
      </c>
      <c r="V17">
        <v>649</v>
      </c>
      <c r="W17" t="s">
        <v>70</v>
      </c>
      <c r="X17">
        <v>3394000</v>
      </c>
      <c r="Y17">
        <v>4.65E-2</v>
      </c>
      <c r="Z17">
        <v>59</v>
      </c>
      <c r="AA17" t="s">
        <v>47</v>
      </c>
      <c r="AB17" t="s">
        <v>38</v>
      </c>
      <c r="AC17" t="s">
        <v>81</v>
      </c>
      <c r="AD17">
        <v>13164.71</v>
      </c>
      <c r="AE17" t="b">
        <v>0</v>
      </c>
      <c r="AF17">
        <v>653353.56000000006</v>
      </c>
    </row>
    <row r="18" spans="1:32" x14ac:dyDescent="0.3">
      <c r="A18" t="s">
        <v>118</v>
      </c>
      <c r="B18" t="s">
        <v>119</v>
      </c>
      <c r="C18" t="s">
        <v>30</v>
      </c>
      <c r="D18" t="s">
        <v>31</v>
      </c>
      <c r="E18">
        <v>594300</v>
      </c>
      <c r="F18">
        <v>48</v>
      </c>
      <c r="G18">
        <v>8.2100000000000009</v>
      </c>
      <c r="H18">
        <v>301866.40000000002</v>
      </c>
      <c r="I18">
        <v>0</v>
      </c>
      <c r="J18">
        <v>0</v>
      </c>
      <c r="K18">
        <v>0</v>
      </c>
      <c r="L18">
        <v>1</v>
      </c>
      <c r="M18">
        <v>142117484.08000001</v>
      </c>
      <c r="N18" s="1">
        <v>45596</v>
      </c>
      <c r="O18" t="s">
        <v>32</v>
      </c>
      <c r="P18" t="s">
        <v>33</v>
      </c>
      <c r="Q18" s="1">
        <v>44835</v>
      </c>
      <c r="R18" t="s">
        <v>45</v>
      </c>
      <c r="S18" t="s">
        <v>107</v>
      </c>
      <c r="T18">
        <v>2022</v>
      </c>
      <c r="U18">
        <v>660</v>
      </c>
      <c r="V18">
        <v>654</v>
      </c>
      <c r="W18" t="s">
        <v>57</v>
      </c>
      <c r="X18">
        <v>1871000</v>
      </c>
      <c r="Y18">
        <v>9.3399999999999997E-2</v>
      </c>
      <c r="Z18">
        <v>62</v>
      </c>
      <c r="AA18" t="s">
        <v>108</v>
      </c>
      <c r="AB18" t="s">
        <v>38</v>
      </c>
      <c r="AC18" t="s">
        <v>81</v>
      </c>
      <c r="AD18">
        <v>14567.25</v>
      </c>
      <c r="AE18" t="b">
        <v>0</v>
      </c>
      <c r="AF18">
        <v>496195.02</v>
      </c>
    </row>
    <row r="19" spans="1:32" x14ac:dyDescent="0.3">
      <c r="A19" t="s">
        <v>120</v>
      </c>
      <c r="B19" t="s">
        <v>121</v>
      </c>
      <c r="C19" t="s">
        <v>103</v>
      </c>
      <c r="D19" t="s">
        <v>31</v>
      </c>
      <c r="E19">
        <v>1016200</v>
      </c>
      <c r="F19">
        <v>72</v>
      </c>
      <c r="G19">
        <v>8.73</v>
      </c>
      <c r="H19">
        <v>634849.25</v>
      </c>
      <c r="I19">
        <v>78</v>
      </c>
      <c r="J19">
        <v>0</v>
      </c>
      <c r="K19">
        <v>0</v>
      </c>
      <c r="L19">
        <v>2</v>
      </c>
      <c r="M19">
        <v>142117484.08000001</v>
      </c>
      <c r="N19" s="1">
        <v>45596</v>
      </c>
      <c r="O19" t="s">
        <v>122</v>
      </c>
      <c r="P19" t="s">
        <v>33</v>
      </c>
      <c r="Q19" s="1">
        <v>44814</v>
      </c>
      <c r="R19" t="s">
        <v>34</v>
      </c>
      <c r="S19" t="s">
        <v>123</v>
      </c>
      <c r="T19">
        <v>2022</v>
      </c>
      <c r="U19">
        <v>660</v>
      </c>
      <c r="V19">
        <v>665</v>
      </c>
      <c r="W19" t="s">
        <v>36</v>
      </c>
      <c r="X19">
        <v>4392000</v>
      </c>
      <c r="Y19">
        <v>4.9700000000000001E-2</v>
      </c>
      <c r="Z19">
        <v>38</v>
      </c>
      <c r="AA19" t="s">
        <v>76</v>
      </c>
      <c r="AB19" t="s">
        <v>38</v>
      </c>
      <c r="AC19" t="s">
        <v>39</v>
      </c>
      <c r="AD19">
        <v>18181.669999999998</v>
      </c>
      <c r="AE19" t="b">
        <v>1</v>
      </c>
      <c r="AF19">
        <v>1155596.77</v>
      </c>
    </row>
    <row r="20" spans="1:32" x14ac:dyDescent="0.3">
      <c r="A20" t="s">
        <v>124</v>
      </c>
      <c r="B20" t="s">
        <v>125</v>
      </c>
      <c r="C20" t="s">
        <v>98</v>
      </c>
      <c r="D20" t="s">
        <v>31</v>
      </c>
      <c r="E20">
        <v>952900</v>
      </c>
      <c r="F20">
        <v>36</v>
      </c>
      <c r="G20">
        <v>13.94</v>
      </c>
      <c r="H20">
        <v>106023.02</v>
      </c>
      <c r="I20">
        <v>0</v>
      </c>
      <c r="J20">
        <v>0</v>
      </c>
      <c r="K20">
        <v>0</v>
      </c>
      <c r="L20">
        <v>1</v>
      </c>
      <c r="M20">
        <v>142117484.08000001</v>
      </c>
      <c r="N20" s="1">
        <v>45596</v>
      </c>
      <c r="O20" t="s">
        <v>32</v>
      </c>
      <c r="P20" t="s">
        <v>74</v>
      </c>
      <c r="Q20" s="1">
        <v>44620</v>
      </c>
      <c r="R20" t="s">
        <v>34</v>
      </c>
      <c r="S20" t="s">
        <v>123</v>
      </c>
      <c r="T20">
        <v>2022</v>
      </c>
      <c r="U20">
        <v>660</v>
      </c>
      <c r="V20">
        <v>671</v>
      </c>
      <c r="W20" t="s">
        <v>57</v>
      </c>
      <c r="X20">
        <v>1808000</v>
      </c>
      <c r="Y20">
        <v>0.216</v>
      </c>
      <c r="Z20">
        <v>55</v>
      </c>
      <c r="AA20" t="s">
        <v>126</v>
      </c>
      <c r="AB20" t="s">
        <v>38</v>
      </c>
      <c r="AC20" t="s">
        <v>54</v>
      </c>
      <c r="AD20">
        <v>32540.1</v>
      </c>
      <c r="AE20" t="b">
        <v>0</v>
      </c>
      <c r="AF20">
        <v>658373.27</v>
      </c>
    </row>
    <row r="21" spans="1:32" x14ac:dyDescent="0.3">
      <c r="A21" t="s">
        <v>127</v>
      </c>
      <c r="B21" t="s">
        <v>128</v>
      </c>
      <c r="C21" t="s">
        <v>98</v>
      </c>
      <c r="D21" t="s">
        <v>31</v>
      </c>
      <c r="E21">
        <v>1106300</v>
      </c>
      <c r="F21">
        <v>60</v>
      </c>
      <c r="G21">
        <v>10.26</v>
      </c>
      <c r="H21">
        <v>594949.65</v>
      </c>
      <c r="I21">
        <v>140</v>
      </c>
      <c r="J21">
        <v>0</v>
      </c>
      <c r="K21">
        <v>0</v>
      </c>
      <c r="L21">
        <v>3</v>
      </c>
      <c r="M21">
        <v>142117484.08000001</v>
      </c>
      <c r="N21" s="1">
        <v>45596</v>
      </c>
      <c r="O21" t="s">
        <v>129</v>
      </c>
      <c r="P21" t="s">
        <v>33</v>
      </c>
      <c r="Q21" s="1">
        <v>44702</v>
      </c>
      <c r="R21" t="s">
        <v>85</v>
      </c>
      <c r="S21" t="s">
        <v>130</v>
      </c>
      <c r="T21">
        <v>2022</v>
      </c>
      <c r="U21">
        <v>660</v>
      </c>
      <c r="V21">
        <v>641</v>
      </c>
      <c r="W21" t="s">
        <v>57</v>
      </c>
      <c r="X21">
        <v>1574000</v>
      </c>
      <c r="Y21">
        <v>0.18029999999999999</v>
      </c>
      <c r="Z21">
        <v>62</v>
      </c>
      <c r="AA21" t="s">
        <v>108</v>
      </c>
      <c r="AB21" t="s">
        <v>38</v>
      </c>
      <c r="AC21" t="s">
        <v>81</v>
      </c>
      <c r="AD21">
        <v>23647.39</v>
      </c>
      <c r="AE21" t="b">
        <v>0</v>
      </c>
      <c r="AF21">
        <v>903277.56</v>
      </c>
    </row>
    <row r="22" spans="1:32" x14ac:dyDescent="0.3">
      <c r="A22" t="s">
        <v>131</v>
      </c>
      <c r="B22" t="s">
        <v>132</v>
      </c>
      <c r="C22" t="s">
        <v>30</v>
      </c>
      <c r="D22" t="s">
        <v>31</v>
      </c>
      <c r="E22">
        <v>1117600</v>
      </c>
      <c r="F22">
        <v>48</v>
      </c>
      <c r="G22">
        <v>13.38</v>
      </c>
      <c r="H22">
        <v>514245.84</v>
      </c>
      <c r="I22">
        <v>0</v>
      </c>
      <c r="J22">
        <v>0</v>
      </c>
      <c r="K22">
        <v>0</v>
      </c>
      <c r="L22">
        <v>1</v>
      </c>
      <c r="M22">
        <v>142117484.08000001</v>
      </c>
      <c r="N22" s="1">
        <v>45596</v>
      </c>
      <c r="O22" t="s">
        <v>32</v>
      </c>
      <c r="P22" t="s">
        <v>44</v>
      </c>
      <c r="Q22" s="1">
        <v>44779</v>
      </c>
      <c r="R22" t="s">
        <v>68</v>
      </c>
      <c r="S22" t="s">
        <v>133</v>
      </c>
      <c r="T22">
        <v>2022</v>
      </c>
      <c r="U22">
        <v>660</v>
      </c>
      <c r="V22">
        <v>650</v>
      </c>
      <c r="W22" t="s">
        <v>63</v>
      </c>
      <c r="X22">
        <v>1418000</v>
      </c>
      <c r="Y22">
        <v>0.2555</v>
      </c>
      <c r="Z22">
        <v>33</v>
      </c>
      <c r="AA22" t="s">
        <v>53</v>
      </c>
      <c r="AB22" t="s">
        <v>38</v>
      </c>
      <c r="AC22" t="s">
        <v>81</v>
      </c>
      <c r="AD22">
        <v>30193.62</v>
      </c>
      <c r="AE22" t="b">
        <v>0</v>
      </c>
      <c r="AF22">
        <v>1157742.1200000001</v>
      </c>
    </row>
    <row r="23" spans="1:32" x14ac:dyDescent="0.3">
      <c r="A23" t="s">
        <v>134</v>
      </c>
      <c r="B23" t="s">
        <v>135</v>
      </c>
      <c r="C23" t="s">
        <v>98</v>
      </c>
      <c r="D23" t="s">
        <v>43</v>
      </c>
      <c r="E23">
        <v>579800</v>
      </c>
      <c r="F23">
        <v>84</v>
      </c>
      <c r="G23">
        <v>12.17</v>
      </c>
      <c r="H23">
        <v>485759.29</v>
      </c>
      <c r="I23">
        <v>0</v>
      </c>
      <c r="J23">
        <v>0</v>
      </c>
      <c r="K23">
        <v>0</v>
      </c>
      <c r="L23">
        <v>1</v>
      </c>
      <c r="M23">
        <v>142117484.08000001</v>
      </c>
      <c r="N23" s="1">
        <v>45596</v>
      </c>
      <c r="O23" t="s">
        <v>32</v>
      </c>
      <c r="P23" t="s">
        <v>44</v>
      </c>
      <c r="Q23" s="1">
        <v>45135</v>
      </c>
      <c r="R23" t="s">
        <v>61</v>
      </c>
      <c r="S23" t="s">
        <v>136</v>
      </c>
      <c r="T23">
        <v>2018</v>
      </c>
      <c r="U23">
        <v>660</v>
      </c>
      <c r="V23">
        <v>627</v>
      </c>
      <c r="W23" t="s">
        <v>36</v>
      </c>
      <c r="X23">
        <v>3819000</v>
      </c>
      <c r="Y23">
        <v>3.2300000000000002E-2</v>
      </c>
      <c r="Z23">
        <v>51</v>
      </c>
      <c r="AA23" t="s">
        <v>53</v>
      </c>
      <c r="AB23" t="s">
        <v>38</v>
      </c>
      <c r="AC23" t="s">
        <v>54</v>
      </c>
      <c r="AD23">
        <v>10287.84</v>
      </c>
      <c r="AE23" t="b">
        <v>0</v>
      </c>
      <c r="AF23">
        <v>679814.52</v>
      </c>
    </row>
    <row r="24" spans="1:32" x14ac:dyDescent="0.3">
      <c r="A24" t="s">
        <v>137</v>
      </c>
      <c r="B24" t="s">
        <v>138</v>
      </c>
      <c r="C24" t="s">
        <v>98</v>
      </c>
      <c r="D24" t="s">
        <v>31</v>
      </c>
      <c r="E24">
        <v>1338400</v>
      </c>
      <c r="F24">
        <v>36</v>
      </c>
      <c r="G24">
        <v>8.91</v>
      </c>
      <c r="H24">
        <v>0</v>
      </c>
      <c r="I24">
        <v>3</v>
      </c>
      <c r="J24">
        <v>0</v>
      </c>
      <c r="K24">
        <v>0</v>
      </c>
      <c r="L24">
        <v>1</v>
      </c>
      <c r="M24">
        <v>142117484.08000001</v>
      </c>
      <c r="N24" s="1">
        <v>45596</v>
      </c>
      <c r="O24" t="s">
        <v>139</v>
      </c>
      <c r="P24" t="s">
        <v>33</v>
      </c>
      <c r="Q24" s="1">
        <v>44253</v>
      </c>
      <c r="R24" t="s">
        <v>34</v>
      </c>
      <c r="S24" t="s">
        <v>35</v>
      </c>
      <c r="T24">
        <v>2021</v>
      </c>
      <c r="U24">
        <v>660</v>
      </c>
      <c r="V24">
        <v>672</v>
      </c>
      <c r="W24" t="s">
        <v>36</v>
      </c>
      <c r="X24">
        <v>1374000</v>
      </c>
      <c r="Y24">
        <v>0.37119999999999997</v>
      </c>
      <c r="Z24">
        <v>41</v>
      </c>
      <c r="AA24" t="s">
        <v>140</v>
      </c>
      <c r="AB24" t="s">
        <v>38</v>
      </c>
      <c r="AC24" t="s">
        <v>39</v>
      </c>
      <c r="AD24">
        <v>42504.72</v>
      </c>
      <c r="AE24" t="b">
        <v>0</v>
      </c>
      <c r="AF24">
        <v>872628.75</v>
      </c>
    </row>
    <row r="25" spans="1:32" x14ac:dyDescent="0.3">
      <c r="A25" t="s">
        <v>141</v>
      </c>
      <c r="B25" t="s">
        <v>142</v>
      </c>
      <c r="C25" t="s">
        <v>98</v>
      </c>
      <c r="D25" t="s">
        <v>31</v>
      </c>
      <c r="E25">
        <v>1308400</v>
      </c>
      <c r="F25">
        <v>36</v>
      </c>
      <c r="G25">
        <v>9.2799999999999994</v>
      </c>
      <c r="H25">
        <v>216529.01</v>
      </c>
      <c r="I25">
        <v>0</v>
      </c>
      <c r="J25">
        <v>0</v>
      </c>
      <c r="K25">
        <v>0</v>
      </c>
      <c r="L25">
        <v>1</v>
      </c>
      <c r="M25">
        <v>142117484.08000001</v>
      </c>
      <c r="N25" s="1">
        <v>45596</v>
      </c>
      <c r="O25" t="s">
        <v>32</v>
      </c>
      <c r="P25" t="s">
        <v>33</v>
      </c>
      <c r="Q25" s="1">
        <v>44677</v>
      </c>
      <c r="R25" t="s">
        <v>68</v>
      </c>
      <c r="S25" t="s">
        <v>69</v>
      </c>
      <c r="T25">
        <v>2022</v>
      </c>
      <c r="U25">
        <v>660</v>
      </c>
      <c r="V25">
        <v>684</v>
      </c>
      <c r="W25" t="s">
        <v>36</v>
      </c>
      <c r="X25">
        <v>4526000</v>
      </c>
      <c r="Y25">
        <v>0.1108</v>
      </c>
      <c r="Z25">
        <v>49</v>
      </c>
      <c r="AA25" t="s">
        <v>71</v>
      </c>
      <c r="AB25" t="s">
        <v>38</v>
      </c>
      <c r="AC25" t="s">
        <v>54</v>
      </c>
      <c r="AD25">
        <v>41777.480000000003</v>
      </c>
      <c r="AE25" t="b">
        <v>0</v>
      </c>
      <c r="AF25">
        <v>1028640.9</v>
      </c>
    </row>
    <row r="26" spans="1:32" x14ac:dyDescent="0.3">
      <c r="A26" t="s">
        <v>143</v>
      </c>
      <c r="B26" t="s">
        <v>144</v>
      </c>
      <c r="C26" t="s">
        <v>67</v>
      </c>
      <c r="D26" t="s">
        <v>31</v>
      </c>
      <c r="E26">
        <v>1731800</v>
      </c>
      <c r="F26">
        <v>84</v>
      </c>
      <c r="G26">
        <v>11.46</v>
      </c>
      <c r="H26">
        <v>1214767.8600000001</v>
      </c>
      <c r="I26">
        <v>0</v>
      </c>
      <c r="J26">
        <v>0</v>
      </c>
      <c r="K26">
        <v>0</v>
      </c>
      <c r="L26">
        <v>1</v>
      </c>
      <c r="M26">
        <v>142117484.08000001</v>
      </c>
      <c r="N26" s="1">
        <v>45596</v>
      </c>
      <c r="O26" t="s">
        <v>32</v>
      </c>
      <c r="P26" t="s">
        <v>33</v>
      </c>
      <c r="Q26" s="1">
        <v>44896</v>
      </c>
      <c r="R26" t="s">
        <v>34</v>
      </c>
      <c r="S26" t="s">
        <v>145</v>
      </c>
      <c r="T26">
        <v>2022</v>
      </c>
      <c r="U26">
        <v>660</v>
      </c>
      <c r="V26">
        <v>673</v>
      </c>
      <c r="W26" t="s">
        <v>36</v>
      </c>
      <c r="X26">
        <v>2599000</v>
      </c>
      <c r="Y26">
        <v>0.1389</v>
      </c>
      <c r="Z26">
        <v>49</v>
      </c>
      <c r="AA26" t="s">
        <v>91</v>
      </c>
      <c r="AB26" t="s">
        <v>38</v>
      </c>
      <c r="AC26" t="s">
        <v>81</v>
      </c>
      <c r="AD26">
        <v>30073.15</v>
      </c>
      <c r="AE26" t="b">
        <v>0</v>
      </c>
      <c r="AF26">
        <v>1705813.05</v>
      </c>
    </row>
    <row r="27" spans="1:32" x14ac:dyDescent="0.3">
      <c r="A27" t="s">
        <v>146</v>
      </c>
      <c r="B27" t="s">
        <v>147</v>
      </c>
      <c r="C27" t="s">
        <v>67</v>
      </c>
      <c r="D27" t="s">
        <v>31</v>
      </c>
      <c r="E27">
        <v>829100</v>
      </c>
      <c r="F27">
        <v>84</v>
      </c>
      <c r="G27">
        <v>14.42</v>
      </c>
      <c r="H27">
        <v>610570.67000000004</v>
      </c>
      <c r="I27">
        <v>0</v>
      </c>
      <c r="J27">
        <v>0</v>
      </c>
      <c r="K27">
        <v>0</v>
      </c>
      <c r="L27">
        <v>1</v>
      </c>
      <c r="M27">
        <v>142117484.08000001</v>
      </c>
      <c r="N27" s="1">
        <v>45596</v>
      </c>
      <c r="O27" t="s">
        <v>32</v>
      </c>
      <c r="P27" t="s">
        <v>44</v>
      </c>
      <c r="Q27" s="1">
        <v>44964</v>
      </c>
      <c r="R27" t="s">
        <v>68</v>
      </c>
      <c r="S27" t="s">
        <v>69</v>
      </c>
      <c r="T27">
        <v>2023</v>
      </c>
      <c r="U27">
        <v>660</v>
      </c>
      <c r="V27">
        <v>676</v>
      </c>
      <c r="W27" t="s">
        <v>36</v>
      </c>
      <c r="X27">
        <v>4063000</v>
      </c>
      <c r="Y27">
        <v>4.65E-2</v>
      </c>
      <c r="Z27">
        <v>31</v>
      </c>
      <c r="AA27" t="s">
        <v>148</v>
      </c>
      <c r="AB27" t="s">
        <v>38</v>
      </c>
      <c r="AC27" t="s">
        <v>54</v>
      </c>
      <c r="AD27">
        <v>15730.34</v>
      </c>
      <c r="AE27" t="b">
        <v>0</v>
      </c>
      <c r="AF27">
        <v>938047.03</v>
      </c>
    </row>
    <row r="28" spans="1:32" x14ac:dyDescent="0.3">
      <c r="A28" t="s">
        <v>149</v>
      </c>
      <c r="B28" t="s">
        <v>150</v>
      </c>
      <c r="C28" t="s">
        <v>98</v>
      </c>
      <c r="D28" t="s">
        <v>31</v>
      </c>
      <c r="E28">
        <v>772400</v>
      </c>
      <c r="F28">
        <v>36</v>
      </c>
      <c r="G28">
        <v>11.36</v>
      </c>
      <c r="H28">
        <v>681358.32</v>
      </c>
      <c r="I28">
        <v>28</v>
      </c>
      <c r="J28">
        <v>0</v>
      </c>
      <c r="K28">
        <v>0</v>
      </c>
      <c r="L28">
        <v>1</v>
      </c>
      <c r="M28">
        <v>142117484.08000001</v>
      </c>
      <c r="N28" s="1">
        <v>45596</v>
      </c>
      <c r="O28" t="s">
        <v>139</v>
      </c>
      <c r="P28" t="s">
        <v>74</v>
      </c>
      <c r="Q28" s="1">
        <v>45433</v>
      </c>
      <c r="R28" t="s">
        <v>51</v>
      </c>
      <c r="S28" t="s">
        <v>79</v>
      </c>
      <c r="T28">
        <v>2024</v>
      </c>
      <c r="U28">
        <v>661</v>
      </c>
      <c r="V28">
        <v>640</v>
      </c>
      <c r="W28" t="s">
        <v>63</v>
      </c>
      <c r="X28">
        <v>3611000</v>
      </c>
      <c r="Y28">
        <v>8.4500000000000006E-2</v>
      </c>
      <c r="Z28">
        <v>45</v>
      </c>
      <c r="AA28" t="s">
        <v>104</v>
      </c>
      <c r="AB28" t="s">
        <v>38</v>
      </c>
      <c r="AC28" t="s">
        <v>54</v>
      </c>
      <c r="AD28">
        <v>25419.27</v>
      </c>
      <c r="AE28" t="b">
        <v>0</v>
      </c>
      <c r="AF28">
        <v>750579.91</v>
      </c>
    </row>
    <row r="29" spans="1:32" x14ac:dyDescent="0.3">
      <c r="A29" t="s">
        <v>151</v>
      </c>
      <c r="B29" t="s">
        <v>152</v>
      </c>
      <c r="C29" t="s">
        <v>30</v>
      </c>
      <c r="D29" t="s">
        <v>31</v>
      </c>
      <c r="E29">
        <v>1008000</v>
      </c>
      <c r="F29">
        <v>60</v>
      </c>
      <c r="G29">
        <v>13.28</v>
      </c>
      <c r="H29">
        <v>281524.59999999998</v>
      </c>
      <c r="I29">
        <v>57</v>
      </c>
      <c r="J29">
        <v>0</v>
      </c>
      <c r="K29">
        <v>0</v>
      </c>
      <c r="L29">
        <v>2</v>
      </c>
      <c r="M29">
        <v>142117484.08000001</v>
      </c>
      <c r="N29" s="1">
        <v>45596</v>
      </c>
      <c r="O29" t="s">
        <v>116</v>
      </c>
      <c r="P29" t="s">
        <v>44</v>
      </c>
      <c r="Q29" s="1">
        <v>44269</v>
      </c>
      <c r="R29" t="s">
        <v>94</v>
      </c>
      <c r="S29" t="s">
        <v>117</v>
      </c>
      <c r="T29">
        <v>2021</v>
      </c>
      <c r="U29">
        <v>661</v>
      </c>
      <c r="V29">
        <v>662</v>
      </c>
      <c r="W29" t="s">
        <v>57</v>
      </c>
      <c r="X29">
        <v>2491000</v>
      </c>
      <c r="Y29">
        <v>0.11119999999999999</v>
      </c>
      <c r="Z29">
        <v>57</v>
      </c>
      <c r="AA29" t="s">
        <v>76</v>
      </c>
      <c r="AB29" t="s">
        <v>38</v>
      </c>
      <c r="AC29" t="s">
        <v>81</v>
      </c>
      <c r="AD29">
        <v>23079.84</v>
      </c>
      <c r="AE29" t="b">
        <v>0</v>
      </c>
      <c r="AF29">
        <v>532556.81999999995</v>
      </c>
    </row>
    <row r="30" spans="1:32" x14ac:dyDescent="0.3">
      <c r="A30" t="s">
        <v>153</v>
      </c>
      <c r="B30" t="s">
        <v>154</v>
      </c>
      <c r="C30" t="s">
        <v>98</v>
      </c>
      <c r="D30" t="s">
        <v>31</v>
      </c>
      <c r="E30">
        <v>1489300</v>
      </c>
      <c r="F30">
        <v>60</v>
      </c>
      <c r="G30">
        <v>9.82</v>
      </c>
      <c r="H30">
        <v>458295.83</v>
      </c>
      <c r="I30">
        <v>0</v>
      </c>
      <c r="J30">
        <v>0</v>
      </c>
      <c r="K30">
        <v>0</v>
      </c>
      <c r="L30">
        <v>1</v>
      </c>
      <c r="M30">
        <v>142117484.08000001</v>
      </c>
      <c r="N30" s="1">
        <v>45596</v>
      </c>
      <c r="O30" t="s">
        <v>32</v>
      </c>
      <c r="P30" t="s">
        <v>44</v>
      </c>
      <c r="Q30" s="1">
        <v>44371</v>
      </c>
      <c r="R30" t="s">
        <v>34</v>
      </c>
      <c r="S30" t="s">
        <v>123</v>
      </c>
      <c r="T30">
        <v>2021</v>
      </c>
      <c r="U30">
        <v>661</v>
      </c>
      <c r="V30">
        <v>624</v>
      </c>
      <c r="W30" t="s">
        <v>36</v>
      </c>
      <c r="X30">
        <v>1142000</v>
      </c>
      <c r="Y30">
        <v>0.33110000000000001</v>
      </c>
      <c r="Z30">
        <v>59</v>
      </c>
      <c r="AA30" t="s">
        <v>108</v>
      </c>
      <c r="AB30" t="s">
        <v>38</v>
      </c>
      <c r="AC30" t="s">
        <v>81</v>
      </c>
      <c r="AD30">
        <v>31511.48</v>
      </c>
      <c r="AE30" t="b">
        <v>0</v>
      </c>
      <c r="AF30">
        <v>873209.19</v>
      </c>
    </row>
    <row r="31" spans="1:32" x14ac:dyDescent="0.3">
      <c r="A31" t="s">
        <v>155</v>
      </c>
      <c r="B31" t="s">
        <v>156</v>
      </c>
      <c r="C31" t="s">
        <v>103</v>
      </c>
      <c r="D31" t="s">
        <v>31</v>
      </c>
      <c r="E31">
        <v>876500</v>
      </c>
      <c r="F31">
        <v>36</v>
      </c>
      <c r="G31">
        <v>9.18</v>
      </c>
      <c r="H31">
        <v>0</v>
      </c>
      <c r="I31">
        <v>99</v>
      </c>
      <c r="J31">
        <v>0</v>
      </c>
      <c r="K31">
        <v>0</v>
      </c>
      <c r="L31">
        <v>3</v>
      </c>
      <c r="M31">
        <v>142117484.08000001</v>
      </c>
      <c r="N31" s="1">
        <v>45596</v>
      </c>
      <c r="O31" t="s">
        <v>111</v>
      </c>
      <c r="P31" t="s">
        <v>50</v>
      </c>
      <c r="Q31" s="1">
        <v>44415</v>
      </c>
      <c r="R31" t="s">
        <v>99</v>
      </c>
      <c r="S31" t="s">
        <v>157</v>
      </c>
      <c r="T31">
        <v>2021</v>
      </c>
      <c r="U31">
        <v>661</v>
      </c>
      <c r="V31">
        <v>617</v>
      </c>
      <c r="W31" t="s">
        <v>57</v>
      </c>
      <c r="X31">
        <v>2455000</v>
      </c>
      <c r="Y31">
        <v>0.1366</v>
      </c>
      <c r="Z31">
        <v>61</v>
      </c>
      <c r="AA31" t="s">
        <v>104</v>
      </c>
      <c r="AB31" t="s">
        <v>38</v>
      </c>
      <c r="AC31" t="s">
        <v>39</v>
      </c>
      <c r="AD31">
        <v>27945.95</v>
      </c>
      <c r="AE31" t="b">
        <v>0</v>
      </c>
      <c r="AF31">
        <v>707730.68</v>
      </c>
    </row>
    <row r="32" spans="1:32" x14ac:dyDescent="0.3">
      <c r="A32" t="s">
        <v>158</v>
      </c>
      <c r="B32" t="s">
        <v>159</v>
      </c>
      <c r="C32" t="s">
        <v>67</v>
      </c>
      <c r="D32" t="s">
        <v>31</v>
      </c>
      <c r="E32">
        <v>2113200</v>
      </c>
      <c r="F32">
        <v>60</v>
      </c>
      <c r="G32">
        <v>7.64</v>
      </c>
      <c r="H32">
        <v>646512.43999999994</v>
      </c>
      <c r="I32">
        <v>0</v>
      </c>
      <c r="J32">
        <v>0</v>
      </c>
      <c r="K32">
        <v>0</v>
      </c>
      <c r="L32">
        <v>1</v>
      </c>
      <c r="M32">
        <v>142117484.08000001</v>
      </c>
      <c r="N32" s="1">
        <v>45596</v>
      </c>
      <c r="O32" t="s">
        <v>32</v>
      </c>
      <c r="P32" t="s">
        <v>44</v>
      </c>
      <c r="Q32" s="1">
        <v>44316</v>
      </c>
      <c r="R32" t="s">
        <v>68</v>
      </c>
      <c r="S32" t="s">
        <v>133</v>
      </c>
      <c r="T32">
        <v>2021</v>
      </c>
      <c r="U32">
        <v>662</v>
      </c>
      <c r="V32">
        <v>632</v>
      </c>
      <c r="W32" t="s">
        <v>70</v>
      </c>
      <c r="X32">
        <v>4637000</v>
      </c>
      <c r="Y32">
        <v>0.1099</v>
      </c>
      <c r="Z32">
        <v>56</v>
      </c>
      <c r="AA32" t="s">
        <v>53</v>
      </c>
      <c r="AB32" t="s">
        <v>38</v>
      </c>
      <c r="AC32" t="s">
        <v>39</v>
      </c>
      <c r="AD32">
        <v>42484.92</v>
      </c>
      <c r="AE32" t="b">
        <v>0</v>
      </c>
      <c r="AF32">
        <v>1255803.4099999999</v>
      </c>
    </row>
    <row r="33" spans="1:32" x14ac:dyDescent="0.3">
      <c r="A33" t="s">
        <v>160</v>
      </c>
      <c r="B33" t="s">
        <v>161</v>
      </c>
      <c r="C33" t="s">
        <v>30</v>
      </c>
      <c r="D33" t="s">
        <v>31</v>
      </c>
      <c r="E33">
        <v>1289200</v>
      </c>
      <c r="F33">
        <v>36</v>
      </c>
      <c r="G33">
        <v>13.61</v>
      </c>
      <c r="H33">
        <v>0</v>
      </c>
      <c r="I33">
        <v>13</v>
      </c>
      <c r="J33">
        <v>0</v>
      </c>
      <c r="K33">
        <v>0</v>
      </c>
      <c r="L33">
        <v>1</v>
      </c>
      <c r="M33">
        <v>142117484.08000001</v>
      </c>
      <c r="N33" s="1">
        <v>45596</v>
      </c>
      <c r="O33" t="s">
        <v>139</v>
      </c>
      <c r="P33" t="s">
        <v>50</v>
      </c>
      <c r="Q33" s="1">
        <v>44308</v>
      </c>
      <c r="R33" t="s">
        <v>94</v>
      </c>
      <c r="S33" t="s">
        <v>117</v>
      </c>
      <c r="T33">
        <v>2021</v>
      </c>
      <c r="U33">
        <v>663</v>
      </c>
      <c r="V33">
        <v>645</v>
      </c>
      <c r="W33" t="s">
        <v>70</v>
      </c>
      <c r="X33">
        <v>1901000</v>
      </c>
      <c r="Y33">
        <v>0.27660000000000001</v>
      </c>
      <c r="Z33">
        <v>55</v>
      </c>
      <c r="AA33" t="s">
        <v>162</v>
      </c>
      <c r="AB33" t="s">
        <v>38</v>
      </c>
      <c r="AC33" t="s">
        <v>81</v>
      </c>
      <c r="AD33">
        <v>43818</v>
      </c>
      <c r="AE33" t="b">
        <v>0</v>
      </c>
      <c r="AF33">
        <v>722811.32</v>
      </c>
    </row>
    <row r="34" spans="1:32" x14ac:dyDescent="0.3">
      <c r="A34" t="s">
        <v>163</v>
      </c>
      <c r="B34" t="s">
        <v>164</v>
      </c>
      <c r="C34" t="s">
        <v>103</v>
      </c>
      <c r="D34" t="s">
        <v>31</v>
      </c>
      <c r="E34">
        <v>1244100</v>
      </c>
      <c r="F34">
        <v>48</v>
      </c>
      <c r="G34">
        <v>13.95</v>
      </c>
      <c r="H34">
        <v>289229.56</v>
      </c>
      <c r="I34">
        <v>19</v>
      </c>
      <c r="J34">
        <v>0</v>
      </c>
      <c r="K34">
        <v>0</v>
      </c>
      <c r="L34">
        <v>1</v>
      </c>
      <c r="M34">
        <v>142117484.08000001</v>
      </c>
      <c r="N34" s="1">
        <v>45596</v>
      </c>
      <c r="O34" t="s">
        <v>139</v>
      </c>
      <c r="P34" t="s">
        <v>50</v>
      </c>
      <c r="Q34" s="1">
        <v>44464</v>
      </c>
      <c r="R34" t="s">
        <v>34</v>
      </c>
      <c r="S34" t="s">
        <v>123</v>
      </c>
      <c r="T34">
        <v>2021</v>
      </c>
      <c r="U34">
        <v>663</v>
      </c>
      <c r="V34">
        <v>693</v>
      </c>
      <c r="W34" t="s">
        <v>36</v>
      </c>
      <c r="X34">
        <v>2042000</v>
      </c>
      <c r="Y34">
        <v>0.1996</v>
      </c>
      <c r="Z34">
        <v>37</v>
      </c>
      <c r="AA34" t="s">
        <v>104</v>
      </c>
      <c r="AB34" t="s">
        <v>38</v>
      </c>
      <c r="AC34" t="s">
        <v>54</v>
      </c>
      <c r="AD34">
        <v>33965.67</v>
      </c>
      <c r="AE34" t="b">
        <v>0</v>
      </c>
      <c r="AF34">
        <v>961024.12</v>
      </c>
    </row>
    <row r="35" spans="1:32" x14ac:dyDescent="0.3">
      <c r="A35" t="s">
        <v>165</v>
      </c>
      <c r="B35" t="s">
        <v>166</v>
      </c>
      <c r="C35" t="s">
        <v>42</v>
      </c>
      <c r="D35" t="s">
        <v>31</v>
      </c>
      <c r="E35">
        <v>840600</v>
      </c>
      <c r="F35">
        <v>60</v>
      </c>
      <c r="G35">
        <v>12.52</v>
      </c>
      <c r="H35">
        <v>293252.32</v>
      </c>
      <c r="I35">
        <v>0</v>
      </c>
      <c r="J35">
        <v>0</v>
      </c>
      <c r="K35">
        <v>0</v>
      </c>
      <c r="L35">
        <v>1</v>
      </c>
      <c r="M35">
        <v>142117484.08000001</v>
      </c>
      <c r="N35" s="1">
        <v>45596</v>
      </c>
      <c r="O35" t="s">
        <v>32</v>
      </c>
      <c r="P35" t="s">
        <v>33</v>
      </c>
      <c r="Q35" s="1">
        <v>44394</v>
      </c>
      <c r="R35" t="s">
        <v>94</v>
      </c>
      <c r="S35" t="s">
        <v>117</v>
      </c>
      <c r="T35">
        <v>2021</v>
      </c>
      <c r="U35">
        <v>663</v>
      </c>
      <c r="V35">
        <v>671</v>
      </c>
      <c r="W35" t="s">
        <v>70</v>
      </c>
      <c r="X35">
        <v>1565000</v>
      </c>
      <c r="Y35">
        <v>0.14510000000000001</v>
      </c>
      <c r="Z35">
        <v>39</v>
      </c>
      <c r="AA35" t="s">
        <v>108</v>
      </c>
      <c r="AB35" t="s">
        <v>38</v>
      </c>
      <c r="AC35" t="s">
        <v>81</v>
      </c>
      <c r="AD35">
        <v>18920.32</v>
      </c>
      <c r="AE35" t="b">
        <v>0</v>
      </c>
      <c r="AF35">
        <v>574698.56000000006</v>
      </c>
    </row>
    <row r="36" spans="1:32" x14ac:dyDescent="0.3">
      <c r="A36" t="s">
        <v>167</v>
      </c>
      <c r="B36" t="s">
        <v>168</v>
      </c>
      <c r="C36" t="s">
        <v>67</v>
      </c>
      <c r="D36" t="s">
        <v>31</v>
      </c>
      <c r="E36">
        <v>1460700</v>
      </c>
      <c r="F36">
        <v>84</v>
      </c>
      <c r="G36">
        <v>8.26</v>
      </c>
      <c r="H36">
        <v>1136625.95</v>
      </c>
      <c r="I36">
        <v>0</v>
      </c>
      <c r="J36">
        <v>0</v>
      </c>
      <c r="K36">
        <v>0</v>
      </c>
      <c r="L36">
        <v>1</v>
      </c>
      <c r="M36">
        <v>142117484.08000001</v>
      </c>
      <c r="N36" s="1">
        <v>45596</v>
      </c>
      <c r="O36" t="s">
        <v>32</v>
      </c>
      <c r="P36" t="s">
        <v>44</v>
      </c>
      <c r="Q36" s="1">
        <v>45059</v>
      </c>
      <c r="R36" t="s">
        <v>94</v>
      </c>
      <c r="S36" t="s">
        <v>95</v>
      </c>
      <c r="T36">
        <v>2023</v>
      </c>
      <c r="U36">
        <v>665</v>
      </c>
      <c r="V36">
        <v>676</v>
      </c>
      <c r="W36" t="s">
        <v>36</v>
      </c>
      <c r="X36">
        <v>4842000</v>
      </c>
      <c r="Y36">
        <v>5.6899999999999999E-2</v>
      </c>
      <c r="Z36">
        <v>25</v>
      </c>
      <c r="AA36" t="s">
        <v>37</v>
      </c>
      <c r="AB36" t="s">
        <v>38</v>
      </c>
      <c r="AC36" t="s">
        <v>39</v>
      </c>
      <c r="AD36">
        <v>22956.46</v>
      </c>
      <c r="AE36" t="b">
        <v>0</v>
      </c>
      <c r="AF36">
        <v>1601736.3</v>
      </c>
    </row>
    <row r="37" spans="1:32" x14ac:dyDescent="0.3">
      <c r="A37" t="s">
        <v>169</v>
      </c>
      <c r="B37" t="s">
        <v>170</v>
      </c>
      <c r="C37" t="s">
        <v>42</v>
      </c>
      <c r="D37" t="s">
        <v>31</v>
      </c>
      <c r="E37">
        <v>695400</v>
      </c>
      <c r="F37">
        <v>72</v>
      </c>
      <c r="G37">
        <v>13.44</v>
      </c>
      <c r="H37">
        <v>526286.85</v>
      </c>
      <c r="I37">
        <v>0</v>
      </c>
      <c r="J37">
        <v>0</v>
      </c>
      <c r="K37">
        <v>0</v>
      </c>
      <c r="L37">
        <v>1</v>
      </c>
      <c r="M37">
        <v>142117484.08000001</v>
      </c>
      <c r="N37" s="1">
        <v>45596</v>
      </c>
      <c r="O37" t="s">
        <v>32</v>
      </c>
      <c r="P37" t="s">
        <v>50</v>
      </c>
      <c r="Q37" s="1">
        <v>45036</v>
      </c>
      <c r="R37" t="s">
        <v>171</v>
      </c>
      <c r="S37" t="s">
        <v>172</v>
      </c>
      <c r="T37">
        <v>2023</v>
      </c>
      <c r="U37">
        <v>665</v>
      </c>
      <c r="V37">
        <v>633</v>
      </c>
      <c r="W37" t="s">
        <v>63</v>
      </c>
      <c r="X37">
        <v>2273000</v>
      </c>
      <c r="Y37">
        <v>7.46E-2</v>
      </c>
      <c r="Z37">
        <v>36</v>
      </c>
      <c r="AA37" t="s">
        <v>104</v>
      </c>
      <c r="AB37" t="s">
        <v>38</v>
      </c>
      <c r="AC37" t="s">
        <v>39</v>
      </c>
      <c r="AD37">
        <v>14121.54</v>
      </c>
      <c r="AE37" t="b">
        <v>0</v>
      </c>
      <c r="AF37">
        <v>870045.7</v>
      </c>
    </row>
    <row r="38" spans="1:32" x14ac:dyDescent="0.3">
      <c r="A38" t="s">
        <v>173</v>
      </c>
      <c r="B38" t="s">
        <v>174</v>
      </c>
      <c r="C38" t="s">
        <v>103</v>
      </c>
      <c r="D38" t="s">
        <v>31</v>
      </c>
      <c r="E38">
        <v>2510000</v>
      </c>
      <c r="F38">
        <v>84</v>
      </c>
      <c r="G38">
        <v>12.03</v>
      </c>
      <c r="H38">
        <v>2050096.09</v>
      </c>
      <c r="I38">
        <v>0</v>
      </c>
      <c r="J38">
        <v>0</v>
      </c>
      <c r="K38">
        <v>0</v>
      </c>
      <c r="L38">
        <v>1</v>
      </c>
      <c r="M38">
        <v>142117484.08000001</v>
      </c>
      <c r="N38" s="1">
        <v>45596</v>
      </c>
      <c r="O38" t="s">
        <v>32</v>
      </c>
      <c r="P38" t="s">
        <v>44</v>
      </c>
      <c r="Q38" s="1">
        <v>45159</v>
      </c>
      <c r="R38" t="s">
        <v>85</v>
      </c>
      <c r="S38" t="s">
        <v>86</v>
      </c>
      <c r="T38">
        <v>2023</v>
      </c>
      <c r="U38">
        <v>665</v>
      </c>
      <c r="V38">
        <v>652</v>
      </c>
      <c r="W38" t="s">
        <v>70</v>
      </c>
      <c r="X38">
        <v>4190000</v>
      </c>
      <c r="Y38">
        <v>0.127</v>
      </c>
      <c r="Z38">
        <v>51</v>
      </c>
      <c r="AA38" t="s">
        <v>162</v>
      </c>
      <c r="AB38" t="s">
        <v>38</v>
      </c>
      <c r="AC38" t="s">
        <v>39</v>
      </c>
      <c r="AD38">
        <v>44348.639999999999</v>
      </c>
      <c r="AE38" t="b">
        <v>0</v>
      </c>
      <c r="AF38">
        <v>2460159.2799999998</v>
      </c>
    </row>
    <row r="39" spans="1:32" x14ac:dyDescent="0.3">
      <c r="A39" t="s">
        <v>175</v>
      </c>
      <c r="B39" t="s">
        <v>176</v>
      </c>
      <c r="C39" t="s">
        <v>98</v>
      </c>
      <c r="D39" t="s">
        <v>31</v>
      </c>
      <c r="E39">
        <v>1072700</v>
      </c>
      <c r="F39">
        <v>36</v>
      </c>
      <c r="G39">
        <v>12.91</v>
      </c>
      <c r="H39">
        <v>151487.9</v>
      </c>
      <c r="I39">
        <v>56</v>
      </c>
      <c r="J39">
        <v>0</v>
      </c>
      <c r="K39">
        <v>0</v>
      </c>
      <c r="L39">
        <v>2</v>
      </c>
      <c r="M39">
        <v>142117484.08000001</v>
      </c>
      <c r="N39" s="1">
        <v>45596</v>
      </c>
      <c r="O39" t="s">
        <v>116</v>
      </c>
      <c r="P39" t="s">
        <v>44</v>
      </c>
      <c r="Q39" s="1">
        <v>44622</v>
      </c>
      <c r="R39" t="s">
        <v>34</v>
      </c>
      <c r="S39" t="s">
        <v>145</v>
      </c>
      <c r="T39">
        <v>2022</v>
      </c>
      <c r="U39">
        <v>665</v>
      </c>
      <c r="V39">
        <v>649</v>
      </c>
      <c r="W39" t="s">
        <v>63</v>
      </c>
      <c r="X39">
        <v>891000</v>
      </c>
      <c r="Y39">
        <v>0.48620000000000002</v>
      </c>
      <c r="Z39">
        <v>57</v>
      </c>
      <c r="AA39" t="s">
        <v>140</v>
      </c>
      <c r="AB39" t="s">
        <v>38</v>
      </c>
      <c r="AC39" t="s">
        <v>54</v>
      </c>
      <c r="AD39">
        <v>36097.019999999997</v>
      </c>
      <c r="AE39" t="b">
        <v>0</v>
      </c>
      <c r="AF39">
        <v>849575.2</v>
      </c>
    </row>
    <row r="40" spans="1:32" x14ac:dyDescent="0.3">
      <c r="A40" t="s">
        <v>177</v>
      </c>
      <c r="B40" t="s">
        <v>178</v>
      </c>
      <c r="C40" t="s">
        <v>42</v>
      </c>
      <c r="D40" t="s">
        <v>31</v>
      </c>
      <c r="E40">
        <v>680000</v>
      </c>
      <c r="F40">
        <v>72</v>
      </c>
      <c r="G40">
        <v>14.5</v>
      </c>
      <c r="H40">
        <v>626705.91</v>
      </c>
      <c r="I40">
        <v>1</v>
      </c>
      <c r="J40">
        <v>0</v>
      </c>
      <c r="K40">
        <v>0</v>
      </c>
      <c r="L40">
        <v>1</v>
      </c>
      <c r="M40">
        <v>142117484.08000001</v>
      </c>
      <c r="N40" s="1">
        <v>45596</v>
      </c>
      <c r="O40" t="s">
        <v>139</v>
      </c>
      <c r="P40" t="s">
        <v>50</v>
      </c>
      <c r="Q40" s="1">
        <v>45398</v>
      </c>
      <c r="R40" t="s">
        <v>45</v>
      </c>
      <c r="S40" t="s">
        <v>107</v>
      </c>
      <c r="T40">
        <v>2024</v>
      </c>
      <c r="U40">
        <v>666</v>
      </c>
      <c r="V40">
        <v>684</v>
      </c>
      <c r="W40" t="s">
        <v>63</v>
      </c>
      <c r="X40">
        <v>767000</v>
      </c>
      <c r="Y40">
        <v>0.22209999999999999</v>
      </c>
      <c r="Z40">
        <v>58</v>
      </c>
      <c r="AA40" t="s">
        <v>113</v>
      </c>
      <c r="AB40" t="s">
        <v>38</v>
      </c>
      <c r="AC40" t="s">
        <v>54</v>
      </c>
      <c r="AD40">
        <v>14194.61</v>
      </c>
      <c r="AE40" t="b">
        <v>0</v>
      </c>
      <c r="AF40">
        <v>961610.27</v>
      </c>
    </row>
    <row r="41" spans="1:32" x14ac:dyDescent="0.3">
      <c r="A41" t="s">
        <v>179</v>
      </c>
      <c r="B41" t="s">
        <v>180</v>
      </c>
      <c r="C41" t="s">
        <v>42</v>
      </c>
      <c r="D41" t="s">
        <v>43</v>
      </c>
      <c r="E41">
        <v>410700</v>
      </c>
      <c r="F41">
        <v>36</v>
      </c>
      <c r="G41">
        <v>14.34</v>
      </c>
      <c r="H41">
        <v>11421.74</v>
      </c>
      <c r="I41">
        <v>15</v>
      </c>
      <c r="J41">
        <v>0</v>
      </c>
      <c r="K41">
        <v>0</v>
      </c>
      <c r="L41">
        <v>1</v>
      </c>
      <c r="M41">
        <v>142117484.08000001</v>
      </c>
      <c r="N41" s="1">
        <v>45596</v>
      </c>
      <c r="O41" t="s">
        <v>139</v>
      </c>
      <c r="P41" t="s">
        <v>44</v>
      </c>
      <c r="Q41" s="1">
        <v>44527</v>
      </c>
      <c r="R41" t="s">
        <v>99</v>
      </c>
      <c r="S41" t="s">
        <v>100</v>
      </c>
      <c r="T41">
        <v>2018</v>
      </c>
      <c r="U41">
        <v>666</v>
      </c>
      <c r="V41">
        <v>688</v>
      </c>
      <c r="W41" t="s">
        <v>36</v>
      </c>
      <c r="X41">
        <v>3264000</v>
      </c>
      <c r="Y41">
        <v>5.1900000000000002E-2</v>
      </c>
      <c r="Z41">
        <v>61</v>
      </c>
      <c r="AA41" t="s">
        <v>126</v>
      </c>
      <c r="AB41" t="s">
        <v>38</v>
      </c>
      <c r="AC41" t="s">
        <v>81</v>
      </c>
      <c r="AD41">
        <v>14104.67</v>
      </c>
      <c r="AE41" t="b">
        <v>0</v>
      </c>
      <c r="AF41">
        <v>376560.36</v>
      </c>
    </row>
    <row r="42" spans="1:32" x14ac:dyDescent="0.3">
      <c r="A42" t="s">
        <v>181</v>
      </c>
      <c r="B42" t="s">
        <v>182</v>
      </c>
      <c r="C42" t="s">
        <v>42</v>
      </c>
      <c r="D42" t="s">
        <v>31</v>
      </c>
      <c r="E42">
        <v>408200</v>
      </c>
      <c r="F42">
        <v>60</v>
      </c>
      <c r="G42">
        <v>14.14</v>
      </c>
      <c r="H42">
        <v>181383.08</v>
      </c>
      <c r="I42">
        <v>0</v>
      </c>
      <c r="J42">
        <v>0</v>
      </c>
      <c r="K42">
        <v>0</v>
      </c>
      <c r="L42">
        <v>1</v>
      </c>
      <c r="M42">
        <v>142117484.08000001</v>
      </c>
      <c r="N42" s="1">
        <v>45596</v>
      </c>
      <c r="O42" t="s">
        <v>32</v>
      </c>
      <c r="P42" t="s">
        <v>44</v>
      </c>
      <c r="Q42" s="1">
        <v>44606</v>
      </c>
      <c r="R42" t="s">
        <v>89</v>
      </c>
      <c r="S42" t="s">
        <v>183</v>
      </c>
      <c r="T42">
        <v>2022</v>
      </c>
      <c r="U42">
        <v>667</v>
      </c>
      <c r="V42">
        <v>629</v>
      </c>
      <c r="W42" t="s">
        <v>63</v>
      </c>
      <c r="X42">
        <v>2673000</v>
      </c>
      <c r="Y42">
        <v>4.2799999999999998E-2</v>
      </c>
      <c r="Z42">
        <v>56</v>
      </c>
      <c r="AA42" t="s">
        <v>53</v>
      </c>
      <c r="AB42" t="s">
        <v>38</v>
      </c>
      <c r="AC42" t="s">
        <v>39</v>
      </c>
      <c r="AD42">
        <v>9527.75</v>
      </c>
      <c r="AE42" t="b">
        <v>0</v>
      </c>
      <c r="AF42">
        <v>311531.87</v>
      </c>
    </row>
    <row r="43" spans="1:32" x14ac:dyDescent="0.3">
      <c r="A43" t="s">
        <v>184</v>
      </c>
      <c r="B43" t="s">
        <v>185</v>
      </c>
      <c r="C43" t="s">
        <v>98</v>
      </c>
      <c r="D43" t="s">
        <v>31</v>
      </c>
      <c r="E43">
        <v>755600</v>
      </c>
      <c r="F43">
        <v>48</v>
      </c>
      <c r="G43">
        <v>9.66</v>
      </c>
      <c r="H43">
        <v>662664.12</v>
      </c>
      <c r="I43">
        <v>0</v>
      </c>
      <c r="J43">
        <v>0</v>
      </c>
      <c r="K43">
        <v>0</v>
      </c>
      <c r="L43">
        <v>1</v>
      </c>
      <c r="M43">
        <v>142117484.08000001</v>
      </c>
      <c r="N43" s="1">
        <v>45596</v>
      </c>
      <c r="O43" t="s">
        <v>32</v>
      </c>
      <c r="P43" t="s">
        <v>44</v>
      </c>
      <c r="Q43" s="1">
        <v>45535</v>
      </c>
      <c r="R43" t="s">
        <v>34</v>
      </c>
      <c r="S43" t="s">
        <v>186</v>
      </c>
      <c r="T43">
        <v>2024</v>
      </c>
      <c r="U43">
        <v>667</v>
      </c>
      <c r="V43">
        <v>658</v>
      </c>
      <c r="W43" t="s">
        <v>57</v>
      </c>
      <c r="X43">
        <v>1804000</v>
      </c>
      <c r="Y43">
        <v>0.12670000000000001</v>
      </c>
      <c r="Z43">
        <v>60</v>
      </c>
      <c r="AA43" t="s">
        <v>104</v>
      </c>
      <c r="AB43" t="s">
        <v>38</v>
      </c>
      <c r="AC43" t="s">
        <v>39</v>
      </c>
      <c r="AD43">
        <v>19040.830000000002</v>
      </c>
      <c r="AE43" t="b">
        <v>0</v>
      </c>
      <c r="AF43">
        <v>826906.55</v>
      </c>
    </row>
    <row r="44" spans="1:32" x14ac:dyDescent="0.3">
      <c r="A44" t="s">
        <v>187</v>
      </c>
      <c r="B44" t="s">
        <v>188</v>
      </c>
      <c r="C44" t="s">
        <v>30</v>
      </c>
      <c r="D44" t="s">
        <v>31</v>
      </c>
      <c r="E44">
        <v>1441600</v>
      </c>
      <c r="F44">
        <v>72</v>
      </c>
      <c r="G44">
        <v>12.3</v>
      </c>
      <c r="H44">
        <v>1433717.28</v>
      </c>
      <c r="I44">
        <v>9</v>
      </c>
      <c r="J44">
        <v>0</v>
      </c>
      <c r="K44">
        <v>0</v>
      </c>
      <c r="L44">
        <v>1</v>
      </c>
      <c r="M44">
        <v>142117484.08000001</v>
      </c>
      <c r="N44" s="1">
        <v>45596</v>
      </c>
      <c r="O44" t="s">
        <v>139</v>
      </c>
      <c r="P44" t="s">
        <v>44</v>
      </c>
      <c r="Q44" s="1">
        <v>45518</v>
      </c>
      <c r="R44" t="s">
        <v>89</v>
      </c>
      <c r="S44" t="s">
        <v>189</v>
      </c>
      <c r="T44">
        <v>2024</v>
      </c>
      <c r="U44">
        <v>667</v>
      </c>
      <c r="V44">
        <v>694</v>
      </c>
      <c r="W44" t="s">
        <v>57</v>
      </c>
      <c r="X44">
        <v>558000</v>
      </c>
      <c r="Y44">
        <v>0.6109</v>
      </c>
      <c r="Z44">
        <v>44</v>
      </c>
      <c r="AA44" t="s">
        <v>80</v>
      </c>
      <c r="AB44" t="s">
        <v>38</v>
      </c>
      <c r="AC44" t="s">
        <v>54</v>
      </c>
      <c r="AD44">
        <v>28408.959999999999</v>
      </c>
      <c r="AE44" t="b">
        <v>0</v>
      </c>
      <c r="AF44">
        <v>1776648.82</v>
      </c>
    </row>
    <row r="45" spans="1:32" x14ac:dyDescent="0.3">
      <c r="A45" t="s">
        <v>190</v>
      </c>
      <c r="B45" t="s">
        <v>191</v>
      </c>
      <c r="C45" t="s">
        <v>42</v>
      </c>
      <c r="D45" t="s">
        <v>31</v>
      </c>
      <c r="E45">
        <v>318100</v>
      </c>
      <c r="F45">
        <v>36</v>
      </c>
      <c r="G45">
        <v>12.62</v>
      </c>
      <c r="H45">
        <v>277277.24</v>
      </c>
      <c r="I45">
        <v>0</v>
      </c>
      <c r="J45">
        <v>0</v>
      </c>
      <c r="K45">
        <v>0</v>
      </c>
      <c r="L45">
        <v>1</v>
      </c>
      <c r="M45">
        <v>142117484.08000001</v>
      </c>
      <c r="N45" s="1">
        <v>45596</v>
      </c>
      <c r="O45" t="s">
        <v>32</v>
      </c>
      <c r="P45" t="s">
        <v>33</v>
      </c>
      <c r="Q45" s="1">
        <v>45456</v>
      </c>
      <c r="R45" t="s">
        <v>45</v>
      </c>
      <c r="S45" t="s">
        <v>107</v>
      </c>
      <c r="T45">
        <v>2024</v>
      </c>
      <c r="U45">
        <v>668</v>
      </c>
      <c r="V45">
        <v>687</v>
      </c>
      <c r="W45" t="s">
        <v>36</v>
      </c>
      <c r="X45">
        <v>2836000</v>
      </c>
      <c r="Y45">
        <v>4.5100000000000001E-2</v>
      </c>
      <c r="Z45">
        <v>59</v>
      </c>
      <c r="AA45" t="s">
        <v>148</v>
      </c>
      <c r="AB45" t="s">
        <v>38</v>
      </c>
      <c r="AC45" t="s">
        <v>39</v>
      </c>
      <c r="AD45">
        <v>10659.92</v>
      </c>
      <c r="AE45" t="b">
        <v>0</v>
      </c>
      <c r="AF45">
        <v>394282.14</v>
      </c>
    </row>
    <row r="46" spans="1:32" x14ac:dyDescent="0.3">
      <c r="A46" t="s">
        <v>192</v>
      </c>
      <c r="B46" t="s">
        <v>193</v>
      </c>
      <c r="C46" t="s">
        <v>103</v>
      </c>
      <c r="D46" t="s">
        <v>31</v>
      </c>
      <c r="E46">
        <v>1450200</v>
      </c>
      <c r="F46">
        <v>36</v>
      </c>
      <c r="G46">
        <v>14.13</v>
      </c>
      <c r="H46">
        <v>750211.17</v>
      </c>
      <c r="I46">
        <v>0</v>
      </c>
      <c r="J46">
        <v>0</v>
      </c>
      <c r="K46">
        <v>0</v>
      </c>
      <c r="L46">
        <v>1</v>
      </c>
      <c r="M46">
        <v>142117484.08000001</v>
      </c>
      <c r="N46" s="1">
        <v>45596</v>
      </c>
      <c r="O46" t="s">
        <v>32</v>
      </c>
      <c r="P46" t="s">
        <v>50</v>
      </c>
      <c r="Q46" s="1">
        <v>45103</v>
      </c>
      <c r="R46" t="s">
        <v>51</v>
      </c>
      <c r="S46" t="s">
        <v>194</v>
      </c>
      <c r="T46">
        <v>2023</v>
      </c>
      <c r="U46">
        <v>669</v>
      </c>
      <c r="V46">
        <v>639</v>
      </c>
      <c r="W46" t="s">
        <v>57</v>
      </c>
      <c r="X46">
        <v>852000</v>
      </c>
      <c r="Y46">
        <v>0.69940000000000002</v>
      </c>
      <c r="Z46">
        <v>39</v>
      </c>
      <c r="AA46" t="s">
        <v>76</v>
      </c>
      <c r="AB46" t="s">
        <v>38</v>
      </c>
      <c r="AC46" t="s">
        <v>81</v>
      </c>
      <c r="AD46">
        <v>49656.01</v>
      </c>
      <c r="AE46" t="b">
        <v>0</v>
      </c>
      <c r="AF46">
        <v>1782840.7</v>
      </c>
    </row>
    <row r="47" spans="1:32" x14ac:dyDescent="0.3">
      <c r="A47" t="s">
        <v>195</v>
      </c>
      <c r="B47" t="s">
        <v>196</v>
      </c>
      <c r="C47" t="s">
        <v>30</v>
      </c>
      <c r="D47" t="s">
        <v>31</v>
      </c>
      <c r="E47">
        <v>788700</v>
      </c>
      <c r="F47">
        <v>48</v>
      </c>
      <c r="G47">
        <v>14.24</v>
      </c>
      <c r="H47">
        <v>312164</v>
      </c>
      <c r="I47">
        <v>0</v>
      </c>
      <c r="J47">
        <v>0</v>
      </c>
      <c r="K47">
        <v>0</v>
      </c>
      <c r="L47">
        <v>1</v>
      </c>
      <c r="M47">
        <v>142117484.08000001</v>
      </c>
      <c r="N47" s="1">
        <v>45596</v>
      </c>
      <c r="O47" t="s">
        <v>32</v>
      </c>
      <c r="P47" t="s">
        <v>74</v>
      </c>
      <c r="Q47" s="1">
        <v>44685</v>
      </c>
      <c r="R47" t="s">
        <v>89</v>
      </c>
      <c r="S47" t="s">
        <v>90</v>
      </c>
      <c r="T47">
        <v>2022</v>
      </c>
      <c r="U47">
        <v>669</v>
      </c>
      <c r="V47">
        <v>640</v>
      </c>
      <c r="W47" t="s">
        <v>57</v>
      </c>
      <c r="X47">
        <v>1086000</v>
      </c>
      <c r="Y47">
        <v>0.2392</v>
      </c>
      <c r="Z47">
        <v>45</v>
      </c>
      <c r="AA47" t="s">
        <v>197</v>
      </c>
      <c r="AB47" t="s">
        <v>38</v>
      </c>
      <c r="AC47" t="s">
        <v>39</v>
      </c>
      <c r="AD47">
        <v>21647.46</v>
      </c>
      <c r="AE47" t="b">
        <v>0</v>
      </c>
      <c r="AF47">
        <v>556697.85</v>
      </c>
    </row>
    <row r="48" spans="1:32" x14ac:dyDescent="0.3">
      <c r="A48" t="s">
        <v>198</v>
      </c>
      <c r="B48" t="s">
        <v>199</v>
      </c>
      <c r="C48" t="s">
        <v>98</v>
      </c>
      <c r="D48" t="s">
        <v>31</v>
      </c>
      <c r="E48">
        <v>664300</v>
      </c>
      <c r="F48">
        <v>48</v>
      </c>
      <c r="G48">
        <v>12.87</v>
      </c>
      <c r="H48">
        <v>502433</v>
      </c>
      <c r="I48">
        <v>0</v>
      </c>
      <c r="J48">
        <v>0</v>
      </c>
      <c r="K48">
        <v>0</v>
      </c>
      <c r="L48">
        <v>1</v>
      </c>
      <c r="M48">
        <v>142117484.08000001</v>
      </c>
      <c r="N48" s="1">
        <v>45596</v>
      </c>
      <c r="O48" t="s">
        <v>32</v>
      </c>
      <c r="P48" t="s">
        <v>74</v>
      </c>
      <c r="Q48" s="1">
        <v>45290</v>
      </c>
      <c r="R48" t="s">
        <v>99</v>
      </c>
      <c r="S48" t="s">
        <v>200</v>
      </c>
      <c r="T48">
        <v>2023</v>
      </c>
      <c r="U48">
        <v>669</v>
      </c>
      <c r="V48">
        <v>648</v>
      </c>
      <c r="W48" t="s">
        <v>57</v>
      </c>
      <c r="X48">
        <v>2354000</v>
      </c>
      <c r="Y48">
        <v>9.06E-2</v>
      </c>
      <c r="Z48">
        <v>54</v>
      </c>
      <c r="AA48" t="s">
        <v>113</v>
      </c>
      <c r="AB48" t="s">
        <v>38</v>
      </c>
      <c r="AC48" t="s">
        <v>39</v>
      </c>
      <c r="AD48">
        <v>17778.669999999998</v>
      </c>
      <c r="AE48" t="b">
        <v>0</v>
      </c>
      <c r="AF48">
        <v>665827.01</v>
      </c>
    </row>
    <row r="49" spans="1:32" x14ac:dyDescent="0.3">
      <c r="A49" t="s">
        <v>201</v>
      </c>
      <c r="B49" t="s">
        <v>202</v>
      </c>
      <c r="C49" t="s">
        <v>98</v>
      </c>
      <c r="D49" t="s">
        <v>31</v>
      </c>
      <c r="E49">
        <v>1118000</v>
      </c>
      <c r="F49">
        <v>36</v>
      </c>
      <c r="G49">
        <v>10.06</v>
      </c>
      <c r="H49">
        <v>0</v>
      </c>
      <c r="I49">
        <v>0</v>
      </c>
      <c r="J49">
        <v>0</v>
      </c>
      <c r="K49">
        <v>0</v>
      </c>
      <c r="L49">
        <v>1</v>
      </c>
      <c r="M49">
        <v>142117484.08000001</v>
      </c>
      <c r="N49" s="1">
        <v>45596</v>
      </c>
      <c r="O49" t="s">
        <v>32</v>
      </c>
      <c r="P49" t="s">
        <v>50</v>
      </c>
      <c r="Q49" s="1">
        <v>44262</v>
      </c>
      <c r="R49" t="s">
        <v>45</v>
      </c>
      <c r="S49" t="s">
        <v>107</v>
      </c>
      <c r="T49">
        <v>2021</v>
      </c>
      <c r="U49">
        <v>670</v>
      </c>
      <c r="V49">
        <v>679</v>
      </c>
      <c r="W49" t="s">
        <v>63</v>
      </c>
      <c r="X49">
        <v>3382000</v>
      </c>
      <c r="Y49">
        <v>0.12809999999999999</v>
      </c>
      <c r="Z49">
        <v>25</v>
      </c>
      <c r="AA49" t="s">
        <v>47</v>
      </c>
      <c r="AB49" t="s">
        <v>38</v>
      </c>
      <c r="AC49" t="s">
        <v>39</v>
      </c>
      <c r="AD49">
        <v>36106.22</v>
      </c>
      <c r="AE49" t="b">
        <v>0</v>
      </c>
      <c r="AF49">
        <v>629651.43000000005</v>
      </c>
    </row>
    <row r="50" spans="1:32" x14ac:dyDescent="0.3">
      <c r="A50" t="s">
        <v>203</v>
      </c>
      <c r="B50" t="s">
        <v>204</v>
      </c>
      <c r="C50" t="s">
        <v>42</v>
      </c>
      <c r="D50" t="s">
        <v>31</v>
      </c>
      <c r="E50">
        <v>569900</v>
      </c>
      <c r="F50">
        <v>84</v>
      </c>
      <c r="G50">
        <v>7.73</v>
      </c>
      <c r="H50">
        <v>411988.69</v>
      </c>
      <c r="I50">
        <v>81</v>
      </c>
      <c r="J50">
        <v>0</v>
      </c>
      <c r="K50">
        <v>0</v>
      </c>
      <c r="L50">
        <v>2</v>
      </c>
      <c r="M50">
        <v>142117484.08000001</v>
      </c>
      <c r="N50" s="1">
        <v>45596</v>
      </c>
      <c r="O50" t="s">
        <v>122</v>
      </c>
      <c r="P50" t="s">
        <v>44</v>
      </c>
      <c r="Q50" s="1">
        <v>44955</v>
      </c>
      <c r="R50" t="s">
        <v>68</v>
      </c>
      <c r="S50" t="s">
        <v>205</v>
      </c>
      <c r="T50">
        <v>2023</v>
      </c>
      <c r="U50">
        <v>670</v>
      </c>
      <c r="V50">
        <v>699</v>
      </c>
      <c r="W50" t="s">
        <v>63</v>
      </c>
      <c r="X50">
        <v>4002000</v>
      </c>
      <c r="Y50">
        <v>2.64E-2</v>
      </c>
      <c r="Z50">
        <v>57</v>
      </c>
      <c r="AA50" t="s">
        <v>126</v>
      </c>
      <c r="AB50" t="s">
        <v>38</v>
      </c>
      <c r="AC50" t="s">
        <v>81</v>
      </c>
      <c r="AD50">
        <v>8806.1200000000008</v>
      </c>
      <c r="AE50" t="b">
        <v>0</v>
      </c>
      <c r="AF50">
        <v>521490.49</v>
      </c>
    </row>
    <row r="51" spans="1:32" x14ac:dyDescent="0.3">
      <c r="A51" t="s">
        <v>206</v>
      </c>
      <c r="B51" t="s">
        <v>207</v>
      </c>
      <c r="C51" t="s">
        <v>103</v>
      </c>
      <c r="D51" t="s">
        <v>31</v>
      </c>
      <c r="E51">
        <v>777100</v>
      </c>
      <c r="F51">
        <v>48</v>
      </c>
      <c r="G51">
        <v>8.4</v>
      </c>
      <c r="H51">
        <v>520209.72</v>
      </c>
      <c r="I51">
        <v>0</v>
      </c>
      <c r="J51">
        <v>0</v>
      </c>
      <c r="K51">
        <v>0</v>
      </c>
      <c r="L51">
        <v>1</v>
      </c>
      <c r="M51">
        <v>142117484.08000001</v>
      </c>
      <c r="N51" s="1">
        <v>45596</v>
      </c>
      <c r="O51" t="s">
        <v>32</v>
      </c>
      <c r="P51" t="s">
        <v>50</v>
      </c>
      <c r="Q51" s="1">
        <v>45102</v>
      </c>
      <c r="R51" t="s">
        <v>45</v>
      </c>
      <c r="S51" t="s">
        <v>107</v>
      </c>
      <c r="T51">
        <v>2023</v>
      </c>
      <c r="U51">
        <v>670</v>
      </c>
      <c r="V51">
        <v>674</v>
      </c>
      <c r="W51" t="s">
        <v>36</v>
      </c>
      <c r="X51">
        <v>1173000</v>
      </c>
      <c r="Y51">
        <v>0.1956</v>
      </c>
      <c r="Z51">
        <v>37</v>
      </c>
      <c r="AA51" t="s">
        <v>140</v>
      </c>
      <c r="AB51" t="s">
        <v>38</v>
      </c>
      <c r="AC51" t="s">
        <v>54</v>
      </c>
      <c r="AD51">
        <v>19117.53</v>
      </c>
      <c r="AE51" t="b">
        <v>0</v>
      </c>
      <c r="AF51">
        <v>721853.54</v>
      </c>
    </row>
    <row r="52" spans="1:32" x14ac:dyDescent="0.3">
      <c r="A52" t="s">
        <v>208</v>
      </c>
      <c r="B52" t="s">
        <v>209</v>
      </c>
      <c r="C52" t="s">
        <v>103</v>
      </c>
      <c r="D52" t="s">
        <v>84</v>
      </c>
      <c r="E52">
        <v>1810500</v>
      </c>
      <c r="F52">
        <v>36</v>
      </c>
      <c r="G52">
        <v>12.49</v>
      </c>
      <c r="H52">
        <v>926771.45</v>
      </c>
      <c r="I52">
        <v>0</v>
      </c>
      <c r="J52">
        <v>0</v>
      </c>
      <c r="K52">
        <v>0</v>
      </c>
      <c r="L52">
        <v>1</v>
      </c>
      <c r="M52">
        <v>142117484.08000001</v>
      </c>
      <c r="N52" s="1">
        <v>45596</v>
      </c>
      <c r="O52" t="s">
        <v>32</v>
      </c>
      <c r="P52" t="s">
        <v>74</v>
      </c>
      <c r="Q52" s="1">
        <v>45078</v>
      </c>
      <c r="R52" t="s">
        <v>61</v>
      </c>
      <c r="S52" t="s">
        <v>210</v>
      </c>
      <c r="T52">
        <v>2021</v>
      </c>
      <c r="U52">
        <v>670</v>
      </c>
      <c r="V52">
        <v>657</v>
      </c>
      <c r="W52" t="s">
        <v>70</v>
      </c>
      <c r="X52">
        <v>3051000</v>
      </c>
      <c r="Y52">
        <v>0.2382</v>
      </c>
      <c r="Z52">
        <v>35</v>
      </c>
      <c r="AA52" t="s">
        <v>91</v>
      </c>
      <c r="AB52" t="s">
        <v>38</v>
      </c>
      <c r="AC52" t="s">
        <v>39</v>
      </c>
      <c r="AD52">
        <v>60559.11</v>
      </c>
      <c r="AE52" t="b">
        <v>0</v>
      </c>
      <c r="AF52">
        <v>1955016.06</v>
      </c>
    </row>
    <row r="53" spans="1:32" x14ac:dyDescent="0.3">
      <c r="A53" t="s">
        <v>211</v>
      </c>
      <c r="B53" t="s">
        <v>212</v>
      </c>
      <c r="C53" t="s">
        <v>98</v>
      </c>
      <c r="D53" t="s">
        <v>31</v>
      </c>
      <c r="E53">
        <v>628100</v>
      </c>
      <c r="F53">
        <v>72</v>
      </c>
      <c r="G53">
        <v>7.51</v>
      </c>
      <c r="H53">
        <v>498775.47</v>
      </c>
      <c r="I53">
        <v>106</v>
      </c>
      <c r="J53">
        <v>0</v>
      </c>
      <c r="K53">
        <v>0</v>
      </c>
      <c r="L53">
        <v>3</v>
      </c>
      <c r="M53">
        <v>142117484.08000001</v>
      </c>
      <c r="N53" s="1">
        <v>45596</v>
      </c>
      <c r="O53" t="s">
        <v>111</v>
      </c>
      <c r="P53" t="s">
        <v>50</v>
      </c>
      <c r="Q53" s="1">
        <v>45220</v>
      </c>
      <c r="R53" t="s">
        <v>45</v>
      </c>
      <c r="S53" t="s">
        <v>46</v>
      </c>
      <c r="T53">
        <v>2023</v>
      </c>
      <c r="U53">
        <v>671</v>
      </c>
      <c r="V53">
        <v>688</v>
      </c>
      <c r="W53" t="s">
        <v>63</v>
      </c>
      <c r="X53">
        <v>3423000</v>
      </c>
      <c r="Y53">
        <v>3.8100000000000002E-2</v>
      </c>
      <c r="Z53">
        <v>49</v>
      </c>
      <c r="AA53" t="s">
        <v>104</v>
      </c>
      <c r="AB53" t="s">
        <v>38</v>
      </c>
      <c r="AC53" t="s">
        <v>81</v>
      </c>
      <c r="AD53">
        <v>10862.96</v>
      </c>
      <c r="AE53" t="b">
        <v>0</v>
      </c>
      <c r="AF53">
        <v>766269.57</v>
      </c>
    </row>
    <row r="54" spans="1:32" x14ac:dyDescent="0.3">
      <c r="A54" t="s">
        <v>213</v>
      </c>
      <c r="B54" t="s">
        <v>214</v>
      </c>
      <c r="C54" t="s">
        <v>98</v>
      </c>
      <c r="D54" t="s">
        <v>31</v>
      </c>
      <c r="E54">
        <v>1303200</v>
      </c>
      <c r="F54">
        <v>84</v>
      </c>
      <c r="G54">
        <v>12.12</v>
      </c>
      <c r="H54">
        <v>807249.94</v>
      </c>
      <c r="I54">
        <v>0</v>
      </c>
      <c r="J54">
        <v>0</v>
      </c>
      <c r="K54">
        <v>0</v>
      </c>
      <c r="L54">
        <v>1</v>
      </c>
      <c r="M54">
        <v>142117484.08000001</v>
      </c>
      <c r="N54" s="1">
        <v>45596</v>
      </c>
      <c r="O54" t="s">
        <v>32</v>
      </c>
      <c r="P54" t="s">
        <v>33</v>
      </c>
      <c r="Q54" s="1">
        <v>44756</v>
      </c>
      <c r="R54" t="s">
        <v>68</v>
      </c>
      <c r="S54" t="s">
        <v>69</v>
      </c>
      <c r="T54">
        <v>2022</v>
      </c>
      <c r="U54">
        <v>671</v>
      </c>
      <c r="V54">
        <v>655</v>
      </c>
      <c r="W54" t="s">
        <v>63</v>
      </c>
      <c r="X54">
        <v>3652000</v>
      </c>
      <c r="Y54">
        <v>7.5899999999999995E-2</v>
      </c>
      <c r="Z54">
        <v>42</v>
      </c>
      <c r="AA54" t="s">
        <v>113</v>
      </c>
      <c r="AB54" t="s">
        <v>38</v>
      </c>
      <c r="AC54" t="s">
        <v>81</v>
      </c>
      <c r="AD54">
        <v>23088.76</v>
      </c>
      <c r="AE54" t="b">
        <v>0</v>
      </c>
      <c r="AF54">
        <v>1061734.31</v>
      </c>
    </row>
    <row r="55" spans="1:32" x14ac:dyDescent="0.3">
      <c r="A55" t="s">
        <v>215</v>
      </c>
      <c r="B55" t="s">
        <v>216</v>
      </c>
      <c r="C55" t="s">
        <v>42</v>
      </c>
      <c r="D55" t="s">
        <v>31</v>
      </c>
      <c r="E55">
        <v>390900</v>
      </c>
      <c r="F55">
        <v>36</v>
      </c>
      <c r="G55">
        <v>7.95</v>
      </c>
      <c r="H55">
        <v>0</v>
      </c>
      <c r="I55">
        <v>0</v>
      </c>
      <c r="J55">
        <v>0</v>
      </c>
      <c r="K55">
        <v>0</v>
      </c>
      <c r="L55">
        <v>1</v>
      </c>
      <c r="M55">
        <v>142117484.08000001</v>
      </c>
      <c r="N55" s="1">
        <v>45596</v>
      </c>
      <c r="O55" t="s">
        <v>32</v>
      </c>
      <c r="P55" t="s">
        <v>44</v>
      </c>
      <c r="Q55" s="1">
        <v>44453</v>
      </c>
      <c r="R55" t="s">
        <v>34</v>
      </c>
      <c r="S55" t="s">
        <v>35</v>
      </c>
      <c r="T55">
        <v>2021</v>
      </c>
      <c r="U55">
        <v>671</v>
      </c>
      <c r="V55">
        <v>634</v>
      </c>
      <c r="W55" t="s">
        <v>57</v>
      </c>
      <c r="X55">
        <v>1762000</v>
      </c>
      <c r="Y55">
        <v>8.3400000000000002E-2</v>
      </c>
      <c r="Z55">
        <v>28</v>
      </c>
      <c r="AA55" t="s">
        <v>126</v>
      </c>
      <c r="AB55" t="s">
        <v>38</v>
      </c>
      <c r="AC55" t="s">
        <v>81</v>
      </c>
      <c r="AD55">
        <v>12240.37</v>
      </c>
      <c r="AE55" t="b">
        <v>0</v>
      </c>
      <c r="AF55">
        <v>292194.15999999997</v>
      </c>
    </row>
    <row r="56" spans="1:32" x14ac:dyDescent="0.3">
      <c r="A56" t="s">
        <v>217</v>
      </c>
      <c r="B56" t="s">
        <v>218</v>
      </c>
      <c r="C56" t="s">
        <v>103</v>
      </c>
      <c r="D56" t="s">
        <v>31</v>
      </c>
      <c r="E56">
        <v>1687000</v>
      </c>
      <c r="F56">
        <v>36</v>
      </c>
      <c r="G56">
        <v>14.27</v>
      </c>
      <c r="H56">
        <v>608652.32999999996</v>
      </c>
      <c r="I56">
        <v>0</v>
      </c>
      <c r="J56">
        <v>0</v>
      </c>
      <c r="K56">
        <v>0</v>
      </c>
      <c r="L56">
        <v>1</v>
      </c>
      <c r="M56">
        <v>142117484.08000001</v>
      </c>
      <c r="N56" s="1">
        <v>45596</v>
      </c>
      <c r="O56" t="s">
        <v>32</v>
      </c>
      <c r="P56" t="s">
        <v>74</v>
      </c>
      <c r="Q56" s="1">
        <v>44893</v>
      </c>
      <c r="R56" t="s">
        <v>99</v>
      </c>
      <c r="S56" t="s">
        <v>219</v>
      </c>
      <c r="T56">
        <v>2022</v>
      </c>
      <c r="U56">
        <v>671</v>
      </c>
      <c r="V56">
        <v>701</v>
      </c>
      <c r="W56" t="s">
        <v>57</v>
      </c>
      <c r="X56">
        <v>1334000</v>
      </c>
      <c r="Y56">
        <v>0.52070000000000005</v>
      </c>
      <c r="Z56">
        <v>47</v>
      </c>
      <c r="AA56" t="s">
        <v>80</v>
      </c>
      <c r="AB56" t="s">
        <v>38</v>
      </c>
      <c r="AC56" t="s">
        <v>54</v>
      </c>
      <c r="AD56">
        <v>57879.14</v>
      </c>
      <c r="AE56" t="b">
        <v>0</v>
      </c>
      <c r="AF56">
        <v>1810599.4</v>
      </c>
    </row>
    <row r="57" spans="1:32" x14ac:dyDescent="0.3">
      <c r="A57" t="s">
        <v>220</v>
      </c>
      <c r="B57" t="s">
        <v>221</v>
      </c>
      <c r="C57" t="s">
        <v>67</v>
      </c>
      <c r="D57" t="s">
        <v>31</v>
      </c>
      <c r="E57">
        <v>1255900</v>
      </c>
      <c r="F57">
        <v>72</v>
      </c>
      <c r="G57">
        <v>9.7100000000000009</v>
      </c>
      <c r="H57">
        <v>1179097.3</v>
      </c>
      <c r="I57">
        <v>0</v>
      </c>
      <c r="J57">
        <v>0</v>
      </c>
      <c r="K57">
        <v>0</v>
      </c>
      <c r="L57">
        <v>1</v>
      </c>
      <c r="M57">
        <v>142117484.08000001</v>
      </c>
      <c r="N57" s="1">
        <v>45596</v>
      </c>
      <c r="O57" t="s">
        <v>32</v>
      </c>
      <c r="P57" t="s">
        <v>74</v>
      </c>
      <c r="Q57" s="1">
        <v>45374</v>
      </c>
      <c r="R57" t="s">
        <v>34</v>
      </c>
      <c r="S57" t="s">
        <v>123</v>
      </c>
      <c r="T57">
        <v>2024</v>
      </c>
      <c r="U57">
        <v>671</v>
      </c>
      <c r="V57">
        <v>623</v>
      </c>
      <c r="W57" t="s">
        <v>57</v>
      </c>
      <c r="X57">
        <v>2446000</v>
      </c>
      <c r="Y57">
        <v>0.1132</v>
      </c>
      <c r="Z57">
        <v>55</v>
      </c>
      <c r="AA57" t="s">
        <v>140</v>
      </c>
      <c r="AB57" t="s">
        <v>38</v>
      </c>
      <c r="AC57" t="s">
        <v>39</v>
      </c>
      <c r="AD57">
        <v>23083.35</v>
      </c>
      <c r="AE57" t="b">
        <v>0</v>
      </c>
      <c r="AF57">
        <v>1283754.06</v>
      </c>
    </row>
    <row r="58" spans="1:32" x14ac:dyDescent="0.3">
      <c r="A58" t="s">
        <v>222</v>
      </c>
      <c r="B58" t="s">
        <v>223</v>
      </c>
      <c r="C58" t="s">
        <v>98</v>
      </c>
      <c r="D58" t="s">
        <v>31</v>
      </c>
      <c r="E58">
        <v>759900</v>
      </c>
      <c r="F58">
        <v>48</v>
      </c>
      <c r="G58">
        <v>8.2799999999999994</v>
      </c>
      <c r="H58">
        <v>131748.21</v>
      </c>
      <c r="I58">
        <v>0</v>
      </c>
      <c r="J58">
        <v>0</v>
      </c>
      <c r="K58">
        <v>0</v>
      </c>
      <c r="L58">
        <v>1</v>
      </c>
      <c r="M58">
        <v>142117484.08000001</v>
      </c>
      <c r="N58" s="1">
        <v>45596</v>
      </c>
      <c r="O58" t="s">
        <v>32</v>
      </c>
      <c r="P58" t="s">
        <v>50</v>
      </c>
      <c r="Q58" s="1">
        <v>44371</v>
      </c>
      <c r="R58" t="s">
        <v>61</v>
      </c>
      <c r="S58" t="s">
        <v>210</v>
      </c>
      <c r="T58">
        <v>2021</v>
      </c>
      <c r="U58">
        <v>671</v>
      </c>
      <c r="V58">
        <v>666</v>
      </c>
      <c r="W58" t="s">
        <v>36</v>
      </c>
      <c r="X58">
        <v>4088000</v>
      </c>
      <c r="Y58">
        <v>5.4699999999999999E-2</v>
      </c>
      <c r="Z58">
        <v>37</v>
      </c>
      <c r="AA58" t="s">
        <v>108</v>
      </c>
      <c r="AB58" t="s">
        <v>38</v>
      </c>
      <c r="AC58" t="s">
        <v>54</v>
      </c>
      <c r="AD58">
        <v>18651.419999999998</v>
      </c>
      <c r="AE58" t="b">
        <v>0</v>
      </c>
      <c r="AF58">
        <v>486373.62</v>
      </c>
    </row>
    <row r="59" spans="1:32" x14ac:dyDescent="0.3">
      <c r="A59" t="s">
        <v>224</v>
      </c>
      <c r="B59" t="s">
        <v>225</v>
      </c>
      <c r="C59" t="s">
        <v>42</v>
      </c>
      <c r="D59" t="s">
        <v>43</v>
      </c>
      <c r="E59">
        <v>608100</v>
      </c>
      <c r="F59">
        <v>72</v>
      </c>
      <c r="G59">
        <v>12.05</v>
      </c>
      <c r="H59">
        <v>462180.32</v>
      </c>
      <c r="I59">
        <v>0</v>
      </c>
      <c r="J59">
        <v>0</v>
      </c>
      <c r="K59">
        <v>0</v>
      </c>
      <c r="L59">
        <v>1</v>
      </c>
      <c r="M59">
        <v>142117484.08000001</v>
      </c>
      <c r="N59" s="1">
        <v>45596</v>
      </c>
      <c r="O59" t="s">
        <v>32</v>
      </c>
      <c r="P59" t="s">
        <v>50</v>
      </c>
      <c r="Q59" s="1">
        <v>45043</v>
      </c>
      <c r="R59" t="s">
        <v>61</v>
      </c>
      <c r="S59" t="s">
        <v>62</v>
      </c>
      <c r="T59">
        <v>2021</v>
      </c>
      <c r="U59">
        <v>672</v>
      </c>
      <c r="V59">
        <v>695</v>
      </c>
      <c r="W59" t="s">
        <v>36</v>
      </c>
      <c r="X59">
        <v>4595000</v>
      </c>
      <c r="Y59">
        <v>3.1099999999999999E-2</v>
      </c>
      <c r="Z59">
        <v>43</v>
      </c>
      <c r="AA59" t="s">
        <v>226</v>
      </c>
      <c r="AB59" t="s">
        <v>38</v>
      </c>
      <c r="AC59" t="s">
        <v>39</v>
      </c>
      <c r="AD59">
        <v>11904.29</v>
      </c>
      <c r="AE59" t="b">
        <v>0</v>
      </c>
      <c r="AF59">
        <v>656145.27</v>
      </c>
    </row>
    <row r="60" spans="1:32" x14ac:dyDescent="0.3">
      <c r="A60" t="s">
        <v>227</v>
      </c>
      <c r="B60" t="s">
        <v>228</v>
      </c>
      <c r="C60" t="s">
        <v>67</v>
      </c>
      <c r="D60" t="s">
        <v>31</v>
      </c>
      <c r="E60">
        <v>2153100</v>
      </c>
      <c r="F60">
        <v>36</v>
      </c>
      <c r="G60">
        <v>12.65</v>
      </c>
      <c r="H60">
        <v>895376.28</v>
      </c>
      <c r="I60">
        <v>0</v>
      </c>
      <c r="J60">
        <v>0</v>
      </c>
      <c r="K60">
        <v>0</v>
      </c>
      <c r="L60">
        <v>1</v>
      </c>
      <c r="M60">
        <v>142117484.08000001</v>
      </c>
      <c r="N60" s="1">
        <v>45596</v>
      </c>
      <c r="O60" t="s">
        <v>32</v>
      </c>
      <c r="P60" t="s">
        <v>44</v>
      </c>
      <c r="Q60" s="1">
        <v>44948</v>
      </c>
      <c r="R60" t="s">
        <v>94</v>
      </c>
      <c r="S60" t="s">
        <v>95</v>
      </c>
      <c r="T60">
        <v>2023</v>
      </c>
      <c r="U60">
        <v>672</v>
      </c>
      <c r="V60">
        <v>678</v>
      </c>
      <c r="W60" t="s">
        <v>57</v>
      </c>
      <c r="X60">
        <v>1306000</v>
      </c>
      <c r="Y60">
        <v>0.6633</v>
      </c>
      <c r="Z60">
        <v>42</v>
      </c>
      <c r="AA60" t="s">
        <v>64</v>
      </c>
      <c r="AB60" t="s">
        <v>38</v>
      </c>
      <c r="AC60" t="s">
        <v>54</v>
      </c>
      <c r="AD60">
        <v>72184.009999999995</v>
      </c>
      <c r="AE60" t="b">
        <v>0</v>
      </c>
      <c r="AF60">
        <v>1864722.91</v>
      </c>
    </row>
    <row r="61" spans="1:32" x14ac:dyDescent="0.3">
      <c r="A61" t="s">
        <v>229</v>
      </c>
      <c r="B61" t="s">
        <v>230</v>
      </c>
      <c r="C61" t="s">
        <v>42</v>
      </c>
      <c r="D61" t="s">
        <v>31</v>
      </c>
      <c r="E61">
        <v>800100</v>
      </c>
      <c r="F61">
        <v>60</v>
      </c>
      <c r="G61">
        <v>14.32</v>
      </c>
      <c r="H61">
        <v>451074.12</v>
      </c>
      <c r="I61">
        <v>75</v>
      </c>
      <c r="J61">
        <v>0</v>
      </c>
      <c r="K61">
        <v>0</v>
      </c>
      <c r="L61">
        <v>2</v>
      </c>
      <c r="M61">
        <v>142117484.08000001</v>
      </c>
      <c r="N61" s="1">
        <v>45596</v>
      </c>
      <c r="O61" t="s">
        <v>122</v>
      </c>
      <c r="P61" t="s">
        <v>44</v>
      </c>
      <c r="Q61" s="1">
        <v>44817</v>
      </c>
      <c r="R61" t="s">
        <v>51</v>
      </c>
      <c r="S61" t="s">
        <v>52</v>
      </c>
      <c r="T61">
        <v>2022</v>
      </c>
      <c r="U61">
        <v>672</v>
      </c>
      <c r="V61">
        <v>646</v>
      </c>
      <c r="W61" t="s">
        <v>36</v>
      </c>
      <c r="X61">
        <v>3262000</v>
      </c>
      <c r="Y61">
        <v>6.9000000000000006E-2</v>
      </c>
      <c r="Z61">
        <v>44</v>
      </c>
      <c r="AA61" t="s">
        <v>80</v>
      </c>
      <c r="AB61" t="s">
        <v>38</v>
      </c>
      <c r="AC61" t="s">
        <v>81</v>
      </c>
      <c r="AD61">
        <v>18749.93</v>
      </c>
      <c r="AE61" t="b">
        <v>0</v>
      </c>
      <c r="AF61">
        <v>782621.01</v>
      </c>
    </row>
    <row r="62" spans="1:32" x14ac:dyDescent="0.3">
      <c r="A62" t="s">
        <v>231</v>
      </c>
      <c r="B62" t="s">
        <v>232</v>
      </c>
      <c r="C62" t="s">
        <v>98</v>
      </c>
      <c r="D62" t="s">
        <v>31</v>
      </c>
      <c r="E62">
        <v>724200</v>
      </c>
      <c r="F62">
        <v>84</v>
      </c>
      <c r="G62">
        <v>10.54</v>
      </c>
      <c r="H62">
        <v>644000.01</v>
      </c>
      <c r="I62">
        <v>0</v>
      </c>
      <c r="J62">
        <v>0</v>
      </c>
      <c r="K62">
        <v>0</v>
      </c>
      <c r="L62">
        <v>1</v>
      </c>
      <c r="M62">
        <v>142117484.08000001</v>
      </c>
      <c r="N62" s="1">
        <v>45596</v>
      </c>
      <c r="O62" t="s">
        <v>32</v>
      </c>
      <c r="P62" t="s">
        <v>50</v>
      </c>
      <c r="Q62" s="1">
        <v>45304</v>
      </c>
      <c r="R62" t="s">
        <v>51</v>
      </c>
      <c r="S62" t="s">
        <v>194</v>
      </c>
      <c r="T62">
        <v>2024</v>
      </c>
      <c r="U62">
        <v>672</v>
      </c>
      <c r="V62">
        <v>678</v>
      </c>
      <c r="W62" t="s">
        <v>36</v>
      </c>
      <c r="X62">
        <v>1599000</v>
      </c>
      <c r="Y62">
        <v>9.1700000000000004E-2</v>
      </c>
      <c r="Z62">
        <v>41</v>
      </c>
      <c r="AA62" t="s">
        <v>233</v>
      </c>
      <c r="AB62" t="s">
        <v>38</v>
      </c>
      <c r="AC62" t="s">
        <v>54</v>
      </c>
      <c r="AD62">
        <v>12225.6</v>
      </c>
      <c r="AE62" t="b">
        <v>0</v>
      </c>
      <c r="AF62">
        <v>845724.25</v>
      </c>
    </row>
    <row r="63" spans="1:32" x14ac:dyDescent="0.3">
      <c r="A63" t="s">
        <v>234</v>
      </c>
      <c r="B63" t="s">
        <v>235</v>
      </c>
      <c r="C63" t="s">
        <v>103</v>
      </c>
      <c r="D63" t="s">
        <v>31</v>
      </c>
      <c r="E63">
        <v>2030600</v>
      </c>
      <c r="F63">
        <v>36</v>
      </c>
      <c r="G63">
        <v>10.49</v>
      </c>
      <c r="H63">
        <v>1506928.31</v>
      </c>
      <c r="I63">
        <v>0</v>
      </c>
      <c r="J63">
        <v>0</v>
      </c>
      <c r="K63">
        <v>0</v>
      </c>
      <c r="L63">
        <v>1</v>
      </c>
      <c r="M63">
        <v>142117484.08000001</v>
      </c>
      <c r="N63" s="1">
        <v>45596</v>
      </c>
      <c r="O63" t="s">
        <v>32</v>
      </c>
      <c r="P63" t="s">
        <v>74</v>
      </c>
      <c r="Q63" s="1">
        <v>45272</v>
      </c>
      <c r="R63" t="s">
        <v>94</v>
      </c>
      <c r="S63" t="s">
        <v>95</v>
      </c>
      <c r="T63">
        <v>2023</v>
      </c>
      <c r="U63">
        <v>672</v>
      </c>
      <c r="V63">
        <v>688</v>
      </c>
      <c r="W63" t="s">
        <v>63</v>
      </c>
      <c r="X63">
        <v>3584000</v>
      </c>
      <c r="Y63">
        <v>0.22090000000000001</v>
      </c>
      <c r="Z63">
        <v>30</v>
      </c>
      <c r="AA63" t="s">
        <v>226</v>
      </c>
      <c r="AB63" t="s">
        <v>38</v>
      </c>
      <c r="AC63" t="s">
        <v>81</v>
      </c>
      <c r="AD63">
        <v>65989.89</v>
      </c>
      <c r="AE63" t="b">
        <v>0</v>
      </c>
      <c r="AF63">
        <v>1873582.73</v>
      </c>
    </row>
    <row r="64" spans="1:32" x14ac:dyDescent="0.3">
      <c r="A64" t="s">
        <v>236</v>
      </c>
      <c r="B64" t="s">
        <v>237</v>
      </c>
      <c r="C64" t="s">
        <v>42</v>
      </c>
      <c r="D64" t="s">
        <v>31</v>
      </c>
      <c r="E64">
        <v>837900</v>
      </c>
      <c r="F64">
        <v>60</v>
      </c>
      <c r="G64">
        <v>9.36</v>
      </c>
      <c r="H64">
        <v>461695.91</v>
      </c>
      <c r="I64">
        <v>0</v>
      </c>
      <c r="J64">
        <v>0</v>
      </c>
      <c r="K64">
        <v>0</v>
      </c>
      <c r="L64">
        <v>1</v>
      </c>
      <c r="M64">
        <v>142117484.08000001</v>
      </c>
      <c r="N64" s="1">
        <v>45596</v>
      </c>
      <c r="O64" t="s">
        <v>32</v>
      </c>
      <c r="P64" t="s">
        <v>74</v>
      </c>
      <c r="Q64" s="1">
        <v>44810</v>
      </c>
      <c r="R64" t="s">
        <v>61</v>
      </c>
      <c r="S64" t="s">
        <v>62</v>
      </c>
      <c r="T64">
        <v>2022</v>
      </c>
      <c r="U64">
        <v>673</v>
      </c>
      <c r="V64">
        <v>697</v>
      </c>
      <c r="W64" t="s">
        <v>63</v>
      </c>
      <c r="X64">
        <v>3235000</v>
      </c>
      <c r="Y64">
        <v>6.5100000000000005E-2</v>
      </c>
      <c r="Z64">
        <v>49</v>
      </c>
      <c r="AA64" t="s">
        <v>197</v>
      </c>
      <c r="AB64" t="s">
        <v>38</v>
      </c>
      <c r="AC64" t="s">
        <v>39</v>
      </c>
      <c r="AD64">
        <v>17540.189999999999</v>
      </c>
      <c r="AE64" t="b">
        <v>0</v>
      </c>
      <c r="AF64">
        <v>770355.61</v>
      </c>
    </row>
    <row r="65" spans="1:32" x14ac:dyDescent="0.3">
      <c r="A65" t="s">
        <v>238</v>
      </c>
      <c r="B65" t="s">
        <v>239</v>
      </c>
      <c r="C65" t="s">
        <v>103</v>
      </c>
      <c r="D65" t="s">
        <v>31</v>
      </c>
      <c r="E65">
        <v>2158500</v>
      </c>
      <c r="F65">
        <v>36</v>
      </c>
      <c r="G65">
        <v>8.07</v>
      </c>
      <c r="H65">
        <v>1955944.72</v>
      </c>
      <c r="I65">
        <v>0</v>
      </c>
      <c r="J65">
        <v>0</v>
      </c>
      <c r="K65">
        <v>0</v>
      </c>
      <c r="L65">
        <v>1</v>
      </c>
      <c r="M65">
        <v>142117484.08000001</v>
      </c>
      <c r="N65" s="1">
        <v>45596</v>
      </c>
      <c r="O65" t="s">
        <v>32</v>
      </c>
      <c r="P65" t="s">
        <v>44</v>
      </c>
      <c r="Q65" s="1">
        <v>45447</v>
      </c>
      <c r="R65" t="s">
        <v>89</v>
      </c>
      <c r="S65" t="s">
        <v>90</v>
      </c>
      <c r="T65">
        <v>2024</v>
      </c>
      <c r="U65">
        <v>673</v>
      </c>
      <c r="V65">
        <v>642</v>
      </c>
      <c r="W65" t="s">
        <v>70</v>
      </c>
      <c r="X65">
        <v>2615000</v>
      </c>
      <c r="Y65">
        <v>0.31069999999999998</v>
      </c>
      <c r="Z65">
        <v>31</v>
      </c>
      <c r="AA65" t="s">
        <v>140</v>
      </c>
      <c r="AB65" t="s">
        <v>38</v>
      </c>
      <c r="AC65" t="s">
        <v>39</v>
      </c>
      <c r="AD65">
        <v>67709.27</v>
      </c>
      <c r="AE65" t="b">
        <v>0</v>
      </c>
      <c r="AF65">
        <v>2419123.6800000002</v>
      </c>
    </row>
    <row r="66" spans="1:32" x14ac:dyDescent="0.3">
      <c r="A66" t="s">
        <v>240</v>
      </c>
      <c r="B66" t="s">
        <v>241</v>
      </c>
      <c r="C66" t="s">
        <v>30</v>
      </c>
      <c r="D66" t="s">
        <v>31</v>
      </c>
      <c r="E66">
        <v>551000</v>
      </c>
      <c r="F66">
        <v>36</v>
      </c>
      <c r="G66">
        <v>10.99</v>
      </c>
      <c r="H66">
        <v>318237.45</v>
      </c>
      <c r="I66">
        <v>7</v>
      </c>
      <c r="J66">
        <v>0</v>
      </c>
      <c r="K66">
        <v>0</v>
      </c>
      <c r="L66">
        <v>1</v>
      </c>
      <c r="M66">
        <v>142117484.08000001</v>
      </c>
      <c r="N66" s="1">
        <v>45596</v>
      </c>
      <c r="O66" t="s">
        <v>139</v>
      </c>
      <c r="P66" t="s">
        <v>50</v>
      </c>
      <c r="Q66" s="1">
        <v>45199</v>
      </c>
      <c r="R66" t="s">
        <v>68</v>
      </c>
      <c r="S66" t="s">
        <v>133</v>
      </c>
      <c r="T66">
        <v>2023</v>
      </c>
      <c r="U66">
        <v>674</v>
      </c>
      <c r="V66">
        <v>633</v>
      </c>
      <c r="W66" t="s">
        <v>36</v>
      </c>
      <c r="X66">
        <v>3337000</v>
      </c>
      <c r="Y66">
        <v>6.4899999999999999E-2</v>
      </c>
      <c r="Z66">
        <v>47</v>
      </c>
      <c r="AA66" t="s">
        <v>108</v>
      </c>
      <c r="AB66" t="s">
        <v>38</v>
      </c>
      <c r="AC66" t="s">
        <v>54</v>
      </c>
      <c r="AD66">
        <v>18036.419999999998</v>
      </c>
      <c r="AE66" t="b">
        <v>0</v>
      </c>
      <c r="AF66">
        <v>537475.96</v>
      </c>
    </row>
    <row r="67" spans="1:32" x14ac:dyDescent="0.3">
      <c r="A67" t="s">
        <v>242</v>
      </c>
      <c r="B67" t="s">
        <v>243</v>
      </c>
      <c r="C67" t="s">
        <v>67</v>
      </c>
      <c r="D67" t="s">
        <v>31</v>
      </c>
      <c r="E67">
        <v>616700</v>
      </c>
      <c r="F67">
        <v>48</v>
      </c>
      <c r="G67">
        <v>10.79</v>
      </c>
      <c r="H67">
        <v>229116.14</v>
      </c>
      <c r="I67">
        <v>0</v>
      </c>
      <c r="J67">
        <v>0</v>
      </c>
      <c r="K67">
        <v>0</v>
      </c>
      <c r="L67">
        <v>1</v>
      </c>
      <c r="M67">
        <v>142117484.08000001</v>
      </c>
      <c r="N67" s="1">
        <v>45596</v>
      </c>
      <c r="O67" t="s">
        <v>32</v>
      </c>
      <c r="P67" t="s">
        <v>74</v>
      </c>
      <c r="Q67" s="1">
        <v>44628</v>
      </c>
      <c r="R67" t="s">
        <v>61</v>
      </c>
      <c r="S67" t="s">
        <v>136</v>
      </c>
      <c r="T67">
        <v>2022</v>
      </c>
      <c r="U67">
        <v>674</v>
      </c>
      <c r="V67">
        <v>692</v>
      </c>
      <c r="W67" t="s">
        <v>63</v>
      </c>
      <c r="X67">
        <v>1237000</v>
      </c>
      <c r="Y67">
        <v>0.154</v>
      </c>
      <c r="Z67">
        <v>43</v>
      </c>
      <c r="AA67" t="s">
        <v>148</v>
      </c>
      <c r="AB67" t="s">
        <v>38</v>
      </c>
      <c r="AC67" t="s">
        <v>39</v>
      </c>
      <c r="AD67">
        <v>15876.11</v>
      </c>
      <c r="AE67" t="b">
        <v>0</v>
      </c>
      <c r="AF67">
        <v>505569.67</v>
      </c>
    </row>
    <row r="68" spans="1:32" x14ac:dyDescent="0.3">
      <c r="A68" t="s">
        <v>244</v>
      </c>
      <c r="B68" t="s">
        <v>245</v>
      </c>
      <c r="C68" t="s">
        <v>103</v>
      </c>
      <c r="D68" t="s">
        <v>84</v>
      </c>
      <c r="E68">
        <v>538100</v>
      </c>
      <c r="F68">
        <v>48</v>
      </c>
      <c r="G68">
        <v>8.82</v>
      </c>
      <c r="H68">
        <v>33400.230000000003</v>
      </c>
      <c r="I68">
        <v>0</v>
      </c>
      <c r="J68">
        <v>0</v>
      </c>
      <c r="K68">
        <v>0</v>
      </c>
      <c r="L68">
        <v>1</v>
      </c>
      <c r="M68">
        <v>142117484.08000001</v>
      </c>
      <c r="N68" s="1">
        <v>45596</v>
      </c>
      <c r="O68" t="s">
        <v>32</v>
      </c>
      <c r="P68" t="s">
        <v>50</v>
      </c>
      <c r="Q68" s="1">
        <v>44200</v>
      </c>
      <c r="R68" t="s">
        <v>94</v>
      </c>
      <c r="S68" t="s">
        <v>95</v>
      </c>
      <c r="T68">
        <v>2017</v>
      </c>
      <c r="U68">
        <v>674</v>
      </c>
      <c r="V68">
        <v>643</v>
      </c>
      <c r="W68" t="s">
        <v>63</v>
      </c>
      <c r="X68">
        <v>4886000</v>
      </c>
      <c r="Y68">
        <v>3.2800000000000003E-2</v>
      </c>
      <c r="Z68">
        <v>59</v>
      </c>
      <c r="AA68" t="s">
        <v>108</v>
      </c>
      <c r="AB68" t="s">
        <v>38</v>
      </c>
      <c r="AC68" t="s">
        <v>81</v>
      </c>
      <c r="AD68">
        <v>13344.7</v>
      </c>
      <c r="AE68" t="b">
        <v>0</v>
      </c>
      <c r="AF68">
        <v>301126.25</v>
      </c>
    </row>
    <row r="69" spans="1:32" x14ac:dyDescent="0.3">
      <c r="A69" t="s">
        <v>246</v>
      </c>
      <c r="B69" t="s">
        <v>247</v>
      </c>
      <c r="C69" t="s">
        <v>103</v>
      </c>
      <c r="D69" t="s">
        <v>31</v>
      </c>
      <c r="E69">
        <v>793900</v>
      </c>
      <c r="F69">
        <v>36</v>
      </c>
      <c r="G69">
        <v>9.68</v>
      </c>
      <c r="H69">
        <v>0</v>
      </c>
      <c r="I69">
        <v>45</v>
      </c>
      <c r="J69">
        <v>0</v>
      </c>
      <c r="K69">
        <v>0</v>
      </c>
      <c r="L69">
        <v>2</v>
      </c>
      <c r="M69">
        <v>142117484.08000001</v>
      </c>
      <c r="N69" s="1">
        <v>45596</v>
      </c>
      <c r="O69" t="s">
        <v>116</v>
      </c>
      <c r="P69" t="s">
        <v>50</v>
      </c>
      <c r="Q69" s="1">
        <v>44360</v>
      </c>
      <c r="R69" t="s">
        <v>94</v>
      </c>
      <c r="S69" t="s">
        <v>117</v>
      </c>
      <c r="T69">
        <v>2021</v>
      </c>
      <c r="U69">
        <v>674</v>
      </c>
      <c r="V69">
        <v>699</v>
      </c>
      <c r="W69" t="s">
        <v>36</v>
      </c>
      <c r="X69">
        <v>1202000</v>
      </c>
      <c r="Y69">
        <v>0.25459999999999999</v>
      </c>
      <c r="Z69">
        <v>46</v>
      </c>
      <c r="AA69" t="s">
        <v>140</v>
      </c>
      <c r="AB69" t="s">
        <v>38</v>
      </c>
      <c r="AC69" t="s">
        <v>39</v>
      </c>
      <c r="AD69">
        <v>25497.81</v>
      </c>
      <c r="AE69" t="b">
        <v>0</v>
      </c>
      <c r="AF69">
        <v>520093.06</v>
      </c>
    </row>
    <row r="70" spans="1:32" x14ac:dyDescent="0.3">
      <c r="A70" t="s">
        <v>248</v>
      </c>
      <c r="B70" t="s">
        <v>249</v>
      </c>
      <c r="C70" t="s">
        <v>42</v>
      </c>
      <c r="D70" t="s">
        <v>31</v>
      </c>
      <c r="E70">
        <v>833600</v>
      </c>
      <c r="F70">
        <v>84</v>
      </c>
      <c r="G70">
        <v>12.97</v>
      </c>
      <c r="H70">
        <v>518638.49</v>
      </c>
      <c r="I70">
        <v>42</v>
      </c>
      <c r="J70">
        <v>0</v>
      </c>
      <c r="K70">
        <v>0</v>
      </c>
      <c r="L70">
        <v>2</v>
      </c>
      <c r="M70">
        <v>142117484.08000001</v>
      </c>
      <c r="N70" s="1">
        <v>45596</v>
      </c>
      <c r="O70" t="s">
        <v>116</v>
      </c>
      <c r="P70" t="s">
        <v>33</v>
      </c>
      <c r="Q70" s="1">
        <v>44762</v>
      </c>
      <c r="R70" t="s">
        <v>94</v>
      </c>
      <c r="S70" t="s">
        <v>117</v>
      </c>
      <c r="T70">
        <v>2022</v>
      </c>
      <c r="U70">
        <v>675</v>
      </c>
      <c r="V70">
        <v>661</v>
      </c>
      <c r="W70" t="s">
        <v>57</v>
      </c>
      <c r="X70">
        <v>1863000</v>
      </c>
      <c r="Y70">
        <v>9.7600000000000006E-2</v>
      </c>
      <c r="Z70">
        <v>33</v>
      </c>
      <c r="AA70" t="s">
        <v>108</v>
      </c>
      <c r="AB70" t="s">
        <v>38</v>
      </c>
      <c r="AC70" t="s">
        <v>54</v>
      </c>
      <c r="AD70">
        <v>15151.23</v>
      </c>
      <c r="AE70" t="b">
        <v>0</v>
      </c>
      <c r="AF70">
        <v>622747.06000000006</v>
      </c>
    </row>
    <row r="71" spans="1:32" x14ac:dyDescent="0.3">
      <c r="A71" t="s">
        <v>250</v>
      </c>
      <c r="B71" t="s">
        <v>251</v>
      </c>
      <c r="C71" t="s">
        <v>30</v>
      </c>
      <c r="D71" t="s">
        <v>84</v>
      </c>
      <c r="E71">
        <v>440400</v>
      </c>
      <c r="F71">
        <v>60</v>
      </c>
      <c r="G71">
        <v>13.43</v>
      </c>
      <c r="H71">
        <v>192550.59</v>
      </c>
      <c r="I71">
        <v>0</v>
      </c>
      <c r="J71">
        <v>0</v>
      </c>
      <c r="K71">
        <v>0</v>
      </c>
      <c r="L71">
        <v>1</v>
      </c>
      <c r="M71">
        <v>142117484.08000001</v>
      </c>
      <c r="N71" s="1">
        <v>45596</v>
      </c>
      <c r="O71" t="s">
        <v>32</v>
      </c>
      <c r="P71" t="s">
        <v>44</v>
      </c>
      <c r="Q71" s="1">
        <v>44595</v>
      </c>
      <c r="R71" t="s">
        <v>45</v>
      </c>
      <c r="S71" t="s">
        <v>107</v>
      </c>
      <c r="T71">
        <v>2021</v>
      </c>
      <c r="U71">
        <v>675</v>
      </c>
      <c r="V71">
        <v>627</v>
      </c>
      <c r="W71" t="s">
        <v>63</v>
      </c>
      <c r="X71">
        <v>4262000</v>
      </c>
      <c r="Y71">
        <v>2.8500000000000001E-2</v>
      </c>
      <c r="Z71">
        <v>25</v>
      </c>
      <c r="AA71" t="s">
        <v>113</v>
      </c>
      <c r="AB71" t="s">
        <v>38</v>
      </c>
      <c r="AC71" t="s">
        <v>81</v>
      </c>
      <c r="AD71">
        <v>10117.66</v>
      </c>
      <c r="AE71" t="b">
        <v>0</v>
      </c>
      <c r="AF71">
        <v>320965.32</v>
      </c>
    </row>
    <row r="72" spans="1:32" x14ac:dyDescent="0.3">
      <c r="A72" t="s">
        <v>252</v>
      </c>
      <c r="B72" t="s">
        <v>253</v>
      </c>
      <c r="C72" t="s">
        <v>42</v>
      </c>
      <c r="D72" t="s">
        <v>31</v>
      </c>
      <c r="E72">
        <v>531700</v>
      </c>
      <c r="F72">
        <v>60</v>
      </c>
      <c r="G72">
        <v>9.59</v>
      </c>
      <c r="H72">
        <v>138005.10999999999</v>
      </c>
      <c r="I72">
        <v>0</v>
      </c>
      <c r="J72">
        <v>0</v>
      </c>
      <c r="K72">
        <v>0</v>
      </c>
      <c r="L72">
        <v>1</v>
      </c>
      <c r="M72">
        <v>142117484.08000001</v>
      </c>
      <c r="N72" s="1">
        <v>45596</v>
      </c>
      <c r="O72" t="s">
        <v>32</v>
      </c>
      <c r="P72" t="s">
        <v>74</v>
      </c>
      <c r="Q72" s="1">
        <v>44269</v>
      </c>
      <c r="R72" t="s">
        <v>68</v>
      </c>
      <c r="S72" t="s">
        <v>205</v>
      </c>
      <c r="T72">
        <v>2021</v>
      </c>
      <c r="U72">
        <v>675</v>
      </c>
      <c r="V72">
        <v>680</v>
      </c>
      <c r="W72" t="s">
        <v>70</v>
      </c>
      <c r="X72">
        <v>1966000</v>
      </c>
      <c r="Y72">
        <v>6.83E-2</v>
      </c>
      <c r="Z72">
        <v>36</v>
      </c>
      <c r="AA72" t="s">
        <v>80</v>
      </c>
      <c r="AB72" t="s">
        <v>38</v>
      </c>
      <c r="AC72" t="s">
        <v>54</v>
      </c>
      <c r="AD72">
        <v>11190.09</v>
      </c>
      <c r="AE72" t="b">
        <v>0</v>
      </c>
      <c r="AF72">
        <v>325431.37</v>
      </c>
    </row>
    <row r="73" spans="1:32" x14ac:dyDescent="0.3">
      <c r="A73" t="s">
        <v>254</v>
      </c>
      <c r="B73" t="s">
        <v>255</v>
      </c>
      <c r="C73" t="s">
        <v>98</v>
      </c>
      <c r="D73" t="s">
        <v>31</v>
      </c>
      <c r="E73">
        <v>1069600</v>
      </c>
      <c r="F73">
        <v>72</v>
      </c>
      <c r="G73">
        <v>9.5</v>
      </c>
      <c r="H73">
        <v>563913.19999999995</v>
      </c>
      <c r="I73">
        <v>0</v>
      </c>
      <c r="J73">
        <v>0</v>
      </c>
      <c r="K73">
        <v>0</v>
      </c>
      <c r="L73">
        <v>1</v>
      </c>
      <c r="M73">
        <v>142117484.08000001</v>
      </c>
      <c r="N73" s="1">
        <v>45596</v>
      </c>
      <c r="O73" t="s">
        <v>32</v>
      </c>
      <c r="P73" t="s">
        <v>50</v>
      </c>
      <c r="Q73" s="1">
        <v>44557</v>
      </c>
      <c r="R73" t="s">
        <v>68</v>
      </c>
      <c r="S73" t="s">
        <v>69</v>
      </c>
      <c r="T73">
        <v>2021</v>
      </c>
      <c r="U73">
        <v>675</v>
      </c>
      <c r="V73">
        <v>636</v>
      </c>
      <c r="W73" t="s">
        <v>36</v>
      </c>
      <c r="X73">
        <v>4727000</v>
      </c>
      <c r="Y73">
        <v>4.9599999999999998E-2</v>
      </c>
      <c r="Z73">
        <v>51</v>
      </c>
      <c r="AA73" t="s">
        <v>140</v>
      </c>
      <c r="AB73" t="s">
        <v>38</v>
      </c>
      <c r="AC73" t="s">
        <v>54</v>
      </c>
      <c r="AD73">
        <v>19546.61</v>
      </c>
      <c r="AE73" t="b">
        <v>0</v>
      </c>
      <c r="AF73">
        <v>873797.53</v>
      </c>
    </row>
    <row r="74" spans="1:32" x14ac:dyDescent="0.3">
      <c r="A74" t="s">
        <v>256</v>
      </c>
      <c r="B74" t="s">
        <v>257</v>
      </c>
      <c r="C74" t="s">
        <v>67</v>
      </c>
      <c r="D74" t="s">
        <v>31</v>
      </c>
      <c r="E74">
        <v>1060500</v>
      </c>
      <c r="F74">
        <v>60</v>
      </c>
      <c r="G74">
        <v>11.79</v>
      </c>
      <c r="H74">
        <v>762384.06</v>
      </c>
      <c r="I74">
        <v>9</v>
      </c>
      <c r="J74">
        <v>0</v>
      </c>
      <c r="K74">
        <v>0</v>
      </c>
      <c r="L74">
        <v>1</v>
      </c>
      <c r="M74">
        <v>142117484.08000001</v>
      </c>
      <c r="N74" s="1">
        <v>45596</v>
      </c>
      <c r="O74" t="s">
        <v>139</v>
      </c>
      <c r="P74" t="s">
        <v>50</v>
      </c>
      <c r="Q74" s="1">
        <v>45122</v>
      </c>
      <c r="R74" t="s">
        <v>85</v>
      </c>
      <c r="S74" t="s">
        <v>130</v>
      </c>
      <c r="T74">
        <v>2023</v>
      </c>
      <c r="U74">
        <v>675</v>
      </c>
      <c r="V74">
        <v>636</v>
      </c>
      <c r="W74" t="s">
        <v>63</v>
      </c>
      <c r="X74">
        <v>1620000</v>
      </c>
      <c r="Y74">
        <v>0.1739</v>
      </c>
      <c r="Z74">
        <v>28</v>
      </c>
      <c r="AA74" t="s">
        <v>126</v>
      </c>
      <c r="AB74" t="s">
        <v>38</v>
      </c>
      <c r="AC74" t="s">
        <v>54</v>
      </c>
      <c r="AD74">
        <v>23477.85</v>
      </c>
      <c r="AE74" t="b">
        <v>0</v>
      </c>
      <c r="AF74">
        <v>1256053.9099999999</v>
      </c>
    </row>
    <row r="75" spans="1:32" x14ac:dyDescent="0.3">
      <c r="A75" t="s">
        <v>258</v>
      </c>
      <c r="B75" t="s">
        <v>259</v>
      </c>
      <c r="C75" t="s">
        <v>98</v>
      </c>
      <c r="D75" t="s">
        <v>43</v>
      </c>
      <c r="E75">
        <v>358600</v>
      </c>
      <c r="F75">
        <v>48</v>
      </c>
      <c r="G75">
        <v>7.79</v>
      </c>
      <c r="H75">
        <v>221104.02</v>
      </c>
      <c r="I75">
        <v>180</v>
      </c>
      <c r="J75">
        <v>0</v>
      </c>
      <c r="K75">
        <v>0</v>
      </c>
      <c r="L75">
        <v>3</v>
      </c>
      <c r="M75">
        <v>142117484.08000001</v>
      </c>
      <c r="N75" s="1">
        <v>45596</v>
      </c>
      <c r="O75" t="s">
        <v>260</v>
      </c>
      <c r="P75" t="s">
        <v>33</v>
      </c>
      <c r="Q75" s="1">
        <v>45072</v>
      </c>
      <c r="R75" t="s">
        <v>94</v>
      </c>
      <c r="S75" t="s">
        <v>95</v>
      </c>
      <c r="T75">
        <v>2021</v>
      </c>
      <c r="U75">
        <v>676</v>
      </c>
      <c r="V75">
        <v>671</v>
      </c>
      <c r="W75" t="s">
        <v>36</v>
      </c>
      <c r="X75">
        <v>1698000</v>
      </c>
      <c r="Y75">
        <v>6.1600000000000002E-2</v>
      </c>
      <c r="Z75">
        <v>25</v>
      </c>
      <c r="AA75" t="s">
        <v>108</v>
      </c>
      <c r="AB75" t="s">
        <v>38</v>
      </c>
      <c r="AC75" t="s">
        <v>81</v>
      </c>
      <c r="AD75">
        <v>8719.17</v>
      </c>
      <c r="AE75" t="b">
        <v>0</v>
      </c>
      <c r="AF75">
        <v>385595.8</v>
      </c>
    </row>
    <row r="76" spans="1:32" x14ac:dyDescent="0.3">
      <c r="A76" t="s">
        <v>261</v>
      </c>
      <c r="B76" t="s">
        <v>262</v>
      </c>
      <c r="C76" t="s">
        <v>67</v>
      </c>
      <c r="D76" t="s">
        <v>84</v>
      </c>
      <c r="E76">
        <v>1271800</v>
      </c>
      <c r="F76">
        <v>60</v>
      </c>
      <c r="G76">
        <v>10.45</v>
      </c>
      <c r="H76">
        <v>834116.81</v>
      </c>
      <c r="I76">
        <v>0</v>
      </c>
      <c r="J76">
        <v>0</v>
      </c>
      <c r="K76">
        <v>0</v>
      </c>
      <c r="L76">
        <v>1</v>
      </c>
      <c r="M76">
        <v>142117484.08000001</v>
      </c>
      <c r="N76" s="1">
        <v>45596</v>
      </c>
      <c r="O76" t="s">
        <v>32</v>
      </c>
      <c r="P76" t="s">
        <v>44</v>
      </c>
      <c r="Q76" s="1">
        <v>45050</v>
      </c>
      <c r="R76" t="s">
        <v>68</v>
      </c>
      <c r="S76" t="s">
        <v>69</v>
      </c>
      <c r="T76">
        <v>2020</v>
      </c>
      <c r="U76">
        <v>676</v>
      </c>
      <c r="V76">
        <v>691</v>
      </c>
      <c r="W76" t="s">
        <v>63</v>
      </c>
      <c r="X76">
        <v>2268000</v>
      </c>
      <c r="Y76">
        <v>0.14449999999999999</v>
      </c>
      <c r="Z76">
        <v>40</v>
      </c>
      <c r="AA76" t="s">
        <v>53</v>
      </c>
      <c r="AB76" t="s">
        <v>38</v>
      </c>
      <c r="AC76" t="s">
        <v>54</v>
      </c>
      <c r="AD76">
        <v>27304.45</v>
      </c>
      <c r="AE76" t="b">
        <v>0</v>
      </c>
      <c r="AF76">
        <v>1164314.5900000001</v>
      </c>
    </row>
    <row r="77" spans="1:32" x14ac:dyDescent="0.3">
      <c r="A77" t="s">
        <v>263</v>
      </c>
      <c r="B77" t="s">
        <v>264</v>
      </c>
      <c r="C77" t="s">
        <v>98</v>
      </c>
      <c r="D77" t="s">
        <v>31</v>
      </c>
      <c r="E77">
        <v>1200000</v>
      </c>
      <c r="F77">
        <v>84</v>
      </c>
      <c r="G77">
        <v>7.55</v>
      </c>
      <c r="H77">
        <v>803444.42</v>
      </c>
      <c r="I77">
        <v>0</v>
      </c>
      <c r="J77">
        <v>0</v>
      </c>
      <c r="K77">
        <v>0</v>
      </c>
      <c r="L77">
        <v>1</v>
      </c>
      <c r="M77">
        <v>142117484.08000001</v>
      </c>
      <c r="N77" s="1">
        <v>45596</v>
      </c>
      <c r="O77" t="s">
        <v>32</v>
      </c>
      <c r="P77" t="s">
        <v>50</v>
      </c>
      <c r="Q77" s="1">
        <v>44697</v>
      </c>
      <c r="R77" t="s">
        <v>61</v>
      </c>
      <c r="S77" t="s">
        <v>75</v>
      </c>
      <c r="T77">
        <v>2022</v>
      </c>
      <c r="U77">
        <v>677</v>
      </c>
      <c r="V77">
        <v>697</v>
      </c>
      <c r="W77" t="s">
        <v>63</v>
      </c>
      <c r="X77">
        <v>1543000</v>
      </c>
      <c r="Y77">
        <v>0.1434</v>
      </c>
      <c r="Z77">
        <v>30</v>
      </c>
      <c r="AA77" t="s">
        <v>71</v>
      </c>
      <c r="AB77" t="s">
        <v>38</v>
      </c>
      <c r="AC77" t="s">
        <v>39</v>
      </c>
      <c r="AD77">
        <v>18435.560000000001</v>
      </c>
      <c r="AE77" t="b">
        <v>0</v>
      </c>
      <c r="AF77">
        <v>970981.47</v>
      </c>
    </row>
    <row r="78" spans="1:32" x14ac:dyDescent="0.3">
      <c r="A78" t="s">
        <v>265</v>
      </c>
      <c r="B78" t="s">
        <v>266</v>
      </c>
      <c r="C78" t="s">
        <v>42</v>
      </c>
      <c r="D78" t="s">
        <v>31</v>
      </c>
      <c r="E78">
        <v>354800</v>
      </c>
      <c r="F78">
        <v>60</v>
      </c>
      <c r="G78">
        <v>9.81</v>
      </c>
      <c r="H78">
        <v>315376.06</v>
      </c>
      <c r="I78">
        <v>0</v>
      </c>
      <c r="J78">
        <v>0</v>
      </c>
      <c r="K78">
        <v>0</v>
      </c>
      <c r="L78">
        <v>1</v>
      </c>
      <c r="M78">
        <v>142117484.08000001</v>
      </c>
      <c r="N78" s="1">
        <v>45596</v>
      </c>
      <c r="O78" t="s">
        <v>32</v>
      </c>
      <c r="P78" t="s">
        <v>74</v>
      </c>
      <c r="Q78" s="1">
        <v>45385</v>
      </c>
      <c r="R78" t="s">
        <v>94</v>
      </c>
      <c r="S78" t="s">
        <v>117</v>
      </c>
      <c r="T78">
        <v>2024</v>
      </c>
      <c r="U78">
        <v>677</v>
      </c>
      <c r="V78">
        <v>649</v>
      </c>
      <c r="W78" t="s">
        <v>70</v>
      </c>
      <c r="X78">
        <v>1325000</v>
      </c>
      <c r="Y78">
        <v>6.8000000000000005E-2</v>
      </c>
      <c r="Z78">
        <v>37</v>
      </c>
      <c r="AA78" t="s">
        <v>71</v>
      </c>
      <c r="AB78" t="s">
        <v>38</v>
      </c>
      <c r="AC78" t="s">
        <v>39</v>
      </c>
      <c r="AD78">
        <v>7505.32</v>
      </c>
      <c r="AE78" t="b">
        <v>0</v>
      </c>
      <c r="AF78">
        <v>534351.78</v>
      </c>
    </row>
    <row r="79" spans="1:32" x14ac:dyDescent="0.3">
      <c r="A79" t="s">
        <v>267</v>
      </c>
      <c r="B79" t="s">
        <v>268</v>
      </c>
      <c r="C79" t="s">
        <v>103</v>
      </c>
      <c r="D79" t="s">
        <v>31</v>
      </c>
      <c r="E79">
        <v>2262000</v>
      </c>
      <c r="F79">
        <v>84</v>
      </c>
      <c r="G79">
        <v>10.1</v>
      </c>
      <c r="H79">
        <v>1262525.8999999999</v>
      </c>
      <c r="I79">
        <v>0</v>
      </c>
      <c r="J79">
        <v>0</v>
      </c>
      <c r="K79">
        <v>0</v>
      </c>
      <c r="L79">
        <v>1</v>
      </c>
      <c r="M79">
        <v>142117484.08000001</v>
      </c>
      <c r="N79" s="1">
        <v>45596</v>
      </c>
      <c r="O79" t="s">
        <v>32</v>
      </c>
      <c r="P79" t="s">
        <v>74</v>
      </c>
      <c r="Q79" s="1">
        <v>44463</v>
      </c>
      <c r="R79" t="s">
        <v>61</v>
      </c>
      <c r="S79" t="s">
        <v>75</v>
      </c>
      <c r="T79">
        <v>2021</v>
      </c>
      <c r="U79">
        <v>677</v>
      </c>
      <c r="V79">
        <v>643</v>
      </c>
      <c r="W79" t="s">
        <v>70</v>
      </c>
      <c r="X79">
        <v>710000</v>
      </c>
      <c r="Y79">
        <v>0.63670000000000004</v>
      </c>
      <c r="Z79">
        <v>62</v>
      </c>
      <c r="AA79" t="s">
        <v>53</v>
      </c>
      <c r="AB79" t="s">
        <v>38</v>
      </c>
      <c r="AC79" t="s">
        <v>54</v>
      </c>
      <c r="AD79">
        <v>37668.86</v>
      </c>
      <c r="AE79" t="b">
        <v>0</v>
      </c>
      <c r="AF79">
        <v>1626161.93</v>
      </c>
    </row>
    <row r="80" spans="1:32" x14ac:dyDescent="0.3">
      <c r="A80" t="s">
        <v>269</v>
      </c>
      <c r="B80" t="s">
        <v>270</v>
      </c>
      <c r="C80" t="s">
        <v>42</v>
      </c>
      <c r="D80" t="s">
        <v>31</v>
      </c>
      <c r="E80">
        <v>601900</v>
      </c>
      <c r="F80">
        <v>48</v>
      </c>
      <c r="G80">
        <v>9.44</v>
      </c>
      <c r="H80">
        <v>57487.22</v>
      </c>
      <c r="I80">
        <v>0</v>
      </c>
      <c r="J80">
        <v>0</v>
      </c>
      <c r="K80">
        <v>0</v>
      </c>
      <c r="L80">
        <v>1</v>
      </c>
      <c r="M80">
        <v>142117484.08000001</v>
      </c>
      <c r="N80" s="1">
        <v>45596</v>
      </c>
      <c r="O80" t="s">
        <v>32</v>
      </c>
      <c r="P80" t="s">
        <v>74</v>
      </c>
      <c r="Q80" s="1">
        <v>44279</v>
      </c>
      <c r="R80" t="s">
        <v>34</v>
      </c>
      <c r="S80" t="s">
        <v>123</v>
      </c>
      <c r="T80">
        <v>2021</v>
      </c>
      <c r="U80">
        <v>677</v>
      </c>
      <c r="V80">
        <v>670</v>
      </c>
      <c r="W80" t="s">
        <v>57</v>
      </c>
      <c r="X80">
        <v>436000</v>
      </c>
      <c r="Y80">
        <v>0.41570000000000001</v>
      </c>
      <c r="Z80">
        <v>38</v>
      </c>
      <c r="AA80" t="s">
        <v>113</v>
      </c>
      <c r="AB80" t="s">
        <v>38</v>
      </c>
      <c r="AC80" t="s">
        <v>81</v>
      </c>
      <c r="AD80">
        <v>15104.38</v>
      </c>
      <c r="AE80" t="b">
        <v>0</v>
      </c>
      <c r="AF80">
        <v>449694.98</v>
      </c>
    </row>
    <row r="81" spans="1:32" x14ac:dyDescent="0.3">
      <c r="A81" t="s">
        <v>271</v>
      </c>
      <c r="B81" t="s">
        <v>272</v>
      </c>
      <c r="C81" t="s">
        <v>103</v>
      </c>
      <c r="D81" t="s">
        <v>31</v>
      </c>
      <c r="E81">
        <v>1483600</v>
      </c>
      <c r="F81">
        <v>84</v>
      </c>
      <c r="G81">
        <v>11.17</v>
      </c>
      <c r="H81">
        <v>1405374.59</v>
      </c>
      <c r="I81">
        <v>0</v>
      </c>
      <c r="J81">
        <v>0</v>
      </c>
      <c r="K81">
        <v>0</v>
      </c>
      <c r="L81">
        <v>1</v>
      </c>
      <c r="M81">
        <v>142117484.08000001</v>
      </c>
      <c r="N81" s="1">
        <v>45596</v>
      </c>
      <c r="O81" t="s">
        <v>32</v>
      </c>
      <c r="P81" t="s">
        <v>44</v>
      </c>
      <c r="Q81" s="1">
        <v>45360</v>
      </c>
      <c r="R81" t="s">
        <v>45</v>
      </c>
      <c r="S81" t="s">
        <v>46</v>
      </c>
      <c r="T81">
        <v>2024</v>
      </c>
      <c r="U81">
        <v>678</v>
      </c>
      <c r="V81">
        <v>670</v>
      </c>
      <c r="W81" t="s">
        <v>70</v>
      </c>
      <c r="X81">
        <v>1582000</v>
      </c>
      <c r="Y81">
        <v>0.19370000000000001</v>
      </c>
      <c r="Z81">
        <v>54</v>
      </c>
      <c r="AA81" t="s">
        <v>113</v>
      </c>
      <c r="AB81" t="s">
        <v>38</v>
      </c>
      <c r="AC81" t="s">
        <v>39</v>
      </c>
      <c r="AD81">
        <v>25535.65</v>
      </c>
      <c r="AE81" t="b">
        <v>0</v>
      </c>
      <c r="AF81">
        <v>1574655.73</v>
      </c>
    </row>
    <row r="82" spans="1:32" x14ac:dyDescent="0.3">
      <c r="A82" t="s">
        <v>273</v>
      </c>
      <c r="B82" t="s">
        <v>274</v>
      </c>
      <c r="C82" t="s">
        <v>42</v>
      </c>
      <c r="D82" t="s">
        <v>31</v>
      </c>
      <c r="E82">
        <v>870000</v>
      </c>
      <c r="F82">
        <v>60</v>
      </c>
      <c r="G82">
        <v>10</v>
      </c>
      <c r="H82">
        <v>642958.41</v>
      </c>
      <c r="I82">
        <v>0</v>
      </c>
      <c r="J82">
        <v>0</v>
      </c>
      <c r="K82">
        <v>0</v>
      </c>
      <c r="L82">
        <v>1</v>
      </c>
      <c r="M82">
        <v>142117484.08000001</v>
      </c>
      <c r="N82" s="1">
        <v>45596</v>
      </c>
      <c r="O82" t="s">
        <v>32</v>
      </c>
      <c r="P82" t="s">
        <v>44</v>
      </c>
      <c r="Q82" s="1">
        <v>45208</v>
      </c>
      <c r="R82" t="s">
        <v>51</v>
      </c>
      <c r="S82" t="s">
        <v>79</v>
      </c>
      <c r="T82">
        <v>2023</v>
      </c>
      <c r="U82">
        <v>679</v>
      </c>
      <c r="V82">
        <v>708</v>
      </c>
      <c r="W82" t="s">
        <v>57</v>
      </c>
      <c r="X82">
        <v>1278000</v>
      </c>
      <c r="Y82">
        <v>0.1736</v>
      </c>
      <c r="Z82">
        <v>55</v>
      </c>
      <c r="AA82" t="s">
        <v>91</v>
      </c>
      <c r="AB82" t="s">
        <v>38</v>
      </c>
      <c r="AC82" t="s">
        <v>81</v>
      </c>
      <c r="AD82">
        <v>18484.93</v>
      </c>
      <c r="AE82" t="b">
        <v>0</v>
      </c>
      <c r="AF82">
        <v>1123776.8400000001</v>
      </c>
    </row>
    <row r="83" spans="1:32" x14ac:dyDescent="0.3">
      <c r="A83" t="s">
        <v>275</v>
      </c>
      <c r="B83" t="s">
        <v>276</v>
      </c>
      <c r="C83" t="s">
        <v>67</v>
      </c>
      <c r="D83" t="s">
        <v>31</v>
      </c>
      <c r="E83">
        <v>865000</v>
      </c>
      <c r="F83">
        <v>84</v>
      </c>
      <c r="G83">
        <v>13.94</v>
      </c>
      <c r="H83">
        <v>546539.02</v>
      </c>
      <c r="I83">
        <v>0</v>
      </c>
      <c r="J83">
        <v>0</v>
      </c>
      <c r="K83">
        <v>0</v>
      </c>
      <c r="L83">
        <v>1</v>
      </c>
      <c r="M83">
        <v>142117484.08000001</v>
      </c>
      <c r="N83" s="1">
        <v>45596</v>
      </c>
      <c r="O83" t="s">
        <v>32</v>
      </c>
      <c r="P83" t="s">
        <v>50</v>
      </c>
      <c r="Q83" s="1">
        <v>44566</v>
      </c>
      <c r="R83" t="s">
        <v>45</v>
      </c>
      <c r="S83" t="s">
        <v>46</v>
      </c>
      <c r="T83">
        <v>2022</v>
      </c>
      <c r="U83">
        <v>679</v>
      </c>
      <c r="V83">
        <v>699</v>
      </c>
      <c r="W83" t="s">
        <v>70</v>
      </c>
      <c r="X83">
        <v>3985000</v>
      </c>
      <c r="Y83">
        <v>4.87E-2</v>
      </c>
      <c r="Z83">
        <v>59</v>
      </c>
      <c r="AA83" t="s">
        <v>47</v>
      </c>
      <c r="AB83" t="s">
        <v>38</v>
      </c>
      <c r="AC83" t="s">
        <v>81</v>
      </c>
      <c r="AD83">
        <v>16181.45</v>
      </c>
      <c r="AE83" t="b">
        <v>0</v>
      </c>
      <c r="AF83">
        <v>839518.06</v>
      </c>
    </row>
    <row r="84" spans="1:32" x14ac:dyDescent="0.3">
      <c r="A84" t="s">
        <v>277</v>
      </c>
      <c r="B84" t="s">
        <v>278</v>
      </c>
      <c r="C84" t="s">
        <v>30</v>
      </c>
      <c r="D84" t="s">
        <v>31</v>
      </c>
      <c r="E84">
        <v>531800</v>
      </c>
      <c r="F84">
        <v>84</v>
      </c>
      <c r="G84">
        <v>10.37</v>
      </c>
      <c r="H84">
        <v>280405.68</v>
      </c>
      <c r="I84">
        <v>0</v>
      </c>
      <c r="J84">
        <v>0</v>
      </c>
      <c r="K84">
        <v>0</v>
      </c>
      <c r="L84">
        <v>1</v>
      </c>
      <c r="M84">
        <v>142117484.08000001</v>
      </c>
      <c r="N84" s="1">
        <v>45596</v>
      </c>
      <c r="O84" t="s">
        <v>32</v>
      </c>
      <c r="P84" t="s">
        <v>74</v>
      </c>
      <c r="Q84" s="1">
        <v>44404</v>
      </c>
      <c r="R84" t="s">
        <v>94</v>
      </c>
      <c r="S84" t="s">
        <v>95</v>
      </c>
      <c r="T84">
        <v>2021</v>
      </c>
      <c r="U84">
        <v>679</v>
      </c>
      <c r="V84">
        <v>647</v>
      </c>
      <c r="W84" t="s">
        <v>36</v>
      </c>
      <c r="X84">
        <v>4576000</v>
      </c>
      <c r="Y84">
        <v>2.3400000000000001E-2</v>
      </c>
      <c r="Z84">
        <v>55</v>
      </c>
      <c r="AA84" t="s">
        <v>162</v>
      </c>
      <c r="AB84" t="s">
        <v>38</v>
      </c>
      <c r="AC84" t="s">
        <v>54</v>
      </c>
      <c r="AD84">
        <v>8930.51</v>
      </c>
      <c r="AE84" t="b">
        <v>0</v>
      </c>
      <c r="AF84">
        <v>475040.42</v>
      </c>
    </row>
    <row r="85" spans="1:32" x14ac:dyDescent="0.3">
      <c r="A85" t="s">
        <v>279</v>
      </c>
      <c r="B85" t="s">
        <v>280</v>
      </c>
      <c r="C85" t="s">
        <v>30</v>
      </c>
      <c r="D85" t="s">
        <v>31</v>
      </c>
      <c r="E85">
        <v>772700</v>
      </c>
      <c r="F85">
        <v>72</v>
      </c>
      <c r="G85">
        <v>10.47</v>
      </c>
      <c r="H85">
        <v>528122.01</v>
      </c>
      <c r="I85">
        <v>0</v>
      </c>
      <c r="J85">
        <v>0</v>
      </c>
      <c r="K85">
        <v>0</v>
      </c>
      <c r="L85">
        <v>1</v>
      </c>
      <c r="M85">
        <v>142117484.08000001</v>
      </c>
      <c r="N85" s="1">
        <v>45596</v>
      </c>
      <c r="O85" t="s">
        <v>32</v>
      </c>
      <c r="P85" t="s">
        <v>44</v>
      </c>
      <c r="Q85" s="1">
        <v>44925</v>
      </c>
      <c r="R85" t="s">
        <v>171</v>
      </c>
      <c r="S85" t="s">
        <v>281</v>
      </c>
      <c r="T85">
        <v>2022</v>
      </c>
      <c r="U85">
        <v>679</v>
      </c>
      <c r="V85">
        <v>659</v>
      </c>
      <c r="W85" t="s">
        <v>36</v>
      </c>
      <c r="X85">
        <v>4838000</v>
      </c>
      <c r="Y85">
        <v>3.5999999999999997E-2</v>
      </c>
      <c r="Z85">
        <v>36</v>
      </c>
      <c r="AA85" t="s">
        <v>126</v>
      </c>
      <c r="AB85" t="s">
        <v>38</v>
      </c>
      <c r="AC85" t="s">
        <v>54</v>
      </c>
      <c r="AD85">
        <v>14498.73</v>
      </c>
      <c r="AE85" t="b">
        <v>0</v>
      </c>
      <c r="AF85">
        <v>925362.72</v>
      </c>
    </row>
    <row r="86" spans="1:32" x14ac:dyDescent="0.3">
      <c r="A86" t="s">
        <v>282</v>
      </c>
      <c r="B86" t="s">
        <v>283</v>
      </c>
      <c r="C86" t="s">
        <v>67</v>
      </c>
      <c r="D86" t="s">
        <v>31</v>
      </c>
      <c r="E86">
        <v>1933900</v>
      </c>
      <c r="F86">
        <v>60</v>
      </c>
      <c r="G86">
        <v>11.43</v>
      </c>
      <c r="H86">
        <v>628423.21</v>
      </c>
      <c r="I86">
        <v>0</v>
      </c>
      <c r="J86">
        <v>0</v>
      </c>
      <c r="K86">
        <v>112799.38</v>
      </c>
      <c r="L86">
        <v>1</v>
      </c>
      <c r="M86">
        <v>142117484.08000001</v>
      </c>
      <c r="N86" s="1">
        <v>45596</v>
      </c>
      <c r="O86" t="s">
        <v>32</v>
      </c>
      <c r="P86" t="s">
        <v>50</v>
      </c>
      <c r="Q86" s="1">
        <v>44394</v>
      </c>
      <c r="R86" t="s">
        <v>89</v>
      </c>
      <c r="S86" t="s">
        <v>183</v>
      </c>
      <c r="T86">
        <v>2021</v>
      </c>
      <c r="U86">
        <v>680</v>
      </c>
      <c r="V86">
        <v>659</v>
      </c>
      <c r="W86" t="s">
        <v>70</v>
      </c>
      <c r="X86">
        <v>4713000</v>
      </c>
      <c r="Y86">
        <v>0.1081</v>
      </c>
      <c r="Z86">
        <v>59</v>
      </c>
      <c r="AA86" t="s">
        <v>91</v>
      </c>
      <c r="AB86" t="s">
        <v>38</v>
      </c>
      <c r="AC86" t="s">
        <v>39</v>
      </c>
      <c r="AD86">
        <v>42463.57</v>
      </c>
      <c r="AE86" t="b">
        <v>0</v>
      </c>
      <c r="AF86">
        <v>1211275.47</v>
      </c>
    </row>
    <row r="87" spans="1:32" x14ac:dyDescent="0.3">
      <c r="A87" t="s">
        <v>284</v>
      </c>
      <c r="B87" t="s">
        <v>285</v>
      </c>
      <c r="C87" t="s">
        <v>42</v>
      </c>
      <c r="D87" t="s">
        <v>31</v>
      </c>
      <c r="E87">
        <v>672600</v>
      </c>
      <c r="F87">
        <v>72</v>
      </c>
      <c r="G87">
        <v>8.81</v>
      </c>
      <c r="H87">
        <v>549091.17000000004</v>
      </c>
      <c r="I87">
        <v>0</v>
      </c>
      <c r="J87">
        <v>0</v>
      </c>
      <c r="K87">
        <v>0</v>
      </c>
      <c r="L87">
        <v>1</v>
      </c>
      <c r="M87">
        <v>142117484.08000001</v>
      </c>
      <c r="N87" s="1">
        <v>45596</v>
      </c>
      <c r="O87" t="s">
        <v>32</v>
      </c>
      <c r="P87" t="s">
        <v>50</v>
      </c>
      <c r="Q87" s="1">
        <v>45379</v>
      </c>
      <c r="R87" t="s">
        <v>99</v>
      </c>
      <c r="S87" t="s">
        <v>157</v>
      </c>
      <c r="T87">
        <v>2024</v>
      </c>
      <c r="U87">
        <v>680</v>
      </c>
      <c r="V87">
        <v>700</v>
      </c>
      <c r="W87" t="s">
        <v>70</v>
      </c>
      <c r="X87">
        <v>1954000</v>
      </c>
      <c r="Y87">
        <v>7.4099999999999999E-2</v>
      </c>
      <c r="Z87">
        <v>55</v>
      </c>
      <c r="AA87" t="s">
        <v>47</v>
      </c>
      <c r="AB87" t="s">
        <v>38</v>
      </c>
      <c r="AC87" t="s">
        <v>81</v>
      </c>
      <c r="AD87">
        <v>12060.65</v>
      </c>
      <c r="AE87" t="b">
        <v>0</v>
      </c>
      <c r="AF87">
        <v>919777.86</v>
      </c>
    </row>
    <row r="88" spans="1:32" x14ac:dyDescent="0.3">
      <c r="A88" t="s">
        <v>286</v>
      </c>
      <c r="B88" t="s">
        <v>287</v>
      </c>
      <c r="C88" t="s">
        <v>67</v>
      </c>
      <c r="D88" t="s">
        <v>31</v>
      </c>
      <c r="E88">
        <v>1540800</v>
      </c>
      <c r="F88">
        <v>48</v>
      </c>
      <c r="G88">
        <v>11.05</v>
      </c>
      <c r="H88">
        <v>1045259.54</v>
      </c>
      <c r="I88">
        <v>0</v>
      </c>
      <c r="J88">
        <v>0</v>
      </c>
      <c r="K88">
        <v>0</v>
      </c>
      <c r="L88">
        <v>1</v>
      </c>
      <c r="M88">
        <v>142117484.08000001</v>
      </c>
      <c r="N88" s="1">
        <v>45596</v>
      </c>
      <c r="O88" t="s">
        <v>32</v>
      </c>
      <c r="P88" t="s">
        <v>50</v>
      </c>
      <c r="Q88" s="1">
        <v>45112</v>
      </c>
      <c r="R88" t="s">
        <v>68</v>
      </c>
      <c r="S88" t="s">
        <v>69</v>
      </c>
      <c r="T88">
        <v>2023</v>
      </c>
      <c r="U88">
        <v>680</v>
      </c>
      <c r="V88">
        <v>692</v>
      </c>
      <c r="W88" t="s">
        <v>63</v>
      </c>
      <c r="X88">
        <v>3856000</v>
      </c>
      <c r="Y88">
        <v>0.124</v>
      </c>
      <c r="Z88">
        <v>30</v>
      </c>
      <c r="AA88" t="s">
        <v>108</v>
      </c>
      <c r="AB88" t="s">
        <v>38</v>
      </c>
      <c r="AC88" t="s">
        <v>54</v>
      </c>
      <c r="AD88">
        <v>39860.199999999997</v>
      </c>
      <c r="AE88" t="b">
        <v>0</v>
      </c>
      <c r="AF88">
        <v>2138081.4300000002</v>
      </c>
    </row>
    <row r="89" spans="1:32" x14ac:dyDescent="0.3">
      <c r="A89" t="s">
        <v>288</v>
      </c>
      <c r="B89" t="s">
        <v>289</v>
      </c>
      <c r="C89" t="s">
        <v>98</v>
      </c>
      <c r="D89" t="s">
        <v>31</v>
      </c>
      <c r="E89">
        <v>778700</v>
      </c>
      <c r="F89">
        <v>36</v>
      </c>
      <c r="G89">
        <v>13.35</v>
      </c>
      <c r="H89">
        <v>778700</v>
      </c>
      <c r="I89">
        <v>0</v>
      </c>
      <c r="J89">
        <v>0</v>
      </c>
      <c r="K89">
        <v>0</v>
      </c>
      <c r="L89">
        <v>1</v>
      </c>
      <c r="M89">
        <v>142117484.08000001</v>
      </c>
      <c r="N89" s="1">
        <v>45596</v>
      </c>
      <c r="O89" t="s">
        <v>32</v>
      </c>
      <c r="P89" t="s">
        <v>44</v>
      </c>
      <c r="Q89" s="1">
        <v>45553</v>
      </c>
      <c r="R89" t="s">
        <v>45</v>
      </c>
      <c r="S89" t="s">
        <v>107</v>
      </c>
      <c r="T89">
        <v>2024</v>
      </c>
      <c r="U89">
        <v>680</v>
      </c>
      <c r="V89">
        <v>648</v>
      </c>
      <c r="W89" t="s">
        <v>36</v>
      </c>
      <c r="X89">
        <v>4504000</v>
      </c>
      <c r="Y89">
        <v>7.0300000000000001E-2</v>
      </c>
      <c r="Z89">
        <v>22</v>
      </c>
      <c r="AA89" t="s">
        <v>108</v>
      </c>
      <c r="AB89" t="s">
        <v>38</v>
      </c>
      <c r="AC89" t="s">
        <v>54</v>
      </c>
      <c r="AD89">
        <v>26368.95</v>
      </c>
      <c r="AE89" t="b">
        <v>0</v>
      </c>
      <c r="AF89">
        <v>760112.46</v>
      </c>
    </row>
    <row r="90" spans="1:32" x14ac:dyDescent="0.3">
      <c r="A90" t="s">
        <v>290</v>
      </c>
      <c r="B90" t="s">
        <v>291</v>
      </c>
      <c r="C90" t="s">
        <v>103</v>
      </c>
      <c r="D90" t="s">
        <v>43</v>
      </c>
      <c r="E90">
        <v>828900</v>
      </c>
      <c r="F90">
        <v>72</v>
      </c>
      <c r="G90">
        <v>11.79</v>
      </c>
      <c r="H90">
        <v>309133.37</v>
      </c>
      <c r="I90">
        <v>0</v>
      </c>
      <c r="J90">
        <v>0</v>
      </c>
      <c r="K90">
        <v>0</v>
      </c>
      <c r="L90">
        <v>1</v>
      </c>
      <c r="M90">
        <v>142117484.08000001</v>
      </c>
      <c r="N90" s="1">
        <v>45596</v>
      </c>
      <c r="O90" t="s">
        <v>32</v>
      </c>
      <c r="P90" t="s">
        <v>44</v>
      </c>
      <c r="Q90" s="1">
        <v>44230</v>
      </c>
      <c r="R90" t="s">
        <v>99</v>
      </c>
      <c r="S90" t="s">
        <v>219</v>
      </c>
      <c r="T90">
        <v>2017</v>
      </c>
      <c r="U90">
        <v>681</v>
      </c>
      <c r="V90">
        <v>678</v>
      </c>
      <c r="W90" t="s">
        <v>70</v>
      </c>
      <c r="X90">
        <v>4289000</v>
      </c>
      <c r="Y90">
        <v>4.5100000000000001E-2</v>
      </c>
      <c r="Z90">
        <v>54</v>
      </c>
      <c r="AA90" t="s">
        <v>53</v>
      </c>
      <c r="AB90" t="s">
        <v>38</v>
      </c>
      <c r="AC90" t="s">
        <v>39</v>
      </c>
      <c r="AD90">
        <v>16114.78</v>
      </c>
      <c r="AE90" t="b">
        <v>0</v>
      </c>
      <c r="AF90">
        <v>503232.26</v>
      </c>
    </row>
    <row r="91" spans="1:32" x14ac:dyDescent="0.3">
      <c r="A91" t="s">
        <v>292</v>
      </c>
      <c r="B91" t="s">
        <v>293</v>
      </c>
      <c r="C91" t="s">
        <v>42</v>
      </c>
      <c r="D91" t="s">
        <v>31</v>
      </c>
      <c r="E91">
        <v>691700</v>
      </c>
      <c r="F91">
        <v>72</v>
      </c>
      <c r="G91">
        <v>14.43</v>
      </c>
      <c r="H91">
        <v>597158.27</v>
      </c>
      <c r="I91">
        <v>0</v>
      </c>
      <c r="J91">
        <v>0</v>
      </c>
      <c r="K91">
        <v>0</v>
      </c>
      <c r="L91">
        <v>1</v>
      </c>
      <c r="M91">
        <v>142117484.08000001</v>
      </c>
      <c r="N91" s="1">
        <v>45596</v>
      </c>
      <c r="O91" t="s">
        <v>32</v>
      </c>
      <c r="P91" t="s">
        <v>33</v>
      </c>
      <c r="Q91" s="1">
        <v>45353</v>
      </c>
      <c r="R91" t="s">
        <v>85</v>
      </c>
      <c r="S91" t="s">
        <v>130</v>
      </c>
      <c r="T91">
        <v>2024</v>
      </c>
      <c r="U91">
        <v>681</v>
      </c>
      <c r="V91">
        <v>643</v>
      </c>
      <c r="W91" t="s">
        <v>70</v>
      </c>
      <c r="X91">
        <v>3153000</v>
      </c>
      <c r="Y91">
        <v>5.4899999999999997E-2</v>
      </c>
      <c r="Z91">
        <v>30</v>
      </c>
      <c r="AA91" t="s">
        <v>80</v>
      </c>
      <c r="AB91" t="s">
        <v>38</v>
      </c>
      <c r="AC91" t="s">
        <v>54</v>
      </c>
      <c r="AD91">
        <v>14412.74</v>
      </c>
      <c r="AE91" t="b">
        <v>0</v>
      </c>
      <c r="AF91">
        <v>906341.57</v>
      </c>
    </row>
    <row r="92" spans="1:32" x14ac:dyDescent="0.3">
      <c r="A92" t="s">
        <v>294</v>
      </c>
      <c r="B92" t="s">
        <v>295</v>
      </c>
      <c r="C92" t="s">
        <v>98</v>
      </c>
      <c r="D92" t="s">
        <v>31</v>
      </c>
      <c r="E92">
        <v>1494600</v>
      </c>
      <c r="F92">
        <v>36</v>
      </c>
      <c r="G92">
        <v>8.4499999999999993</v>
      </c>
      <c r="H92">
        <v>420362.11</v>
      </c>
      <c r="I92">
        <v>25</v>
      </c>
      <c r="J92">
        <v>0</v>
      </c>
      <c r="K92">
        <v>0</v>
      </c>
      <c r="L92">
        <v>1</v>
      </c>
      <c r="M92">
        <v>142117484.08000001</v>
      </c>
      <c r="N92" s="1">
        <v>45596</v>
      </c>
      <c r="O92" t="s">
        <v>139</v>
      </c>
      <c r="P92" t="s">
        <v>33</v>
      </c>
      <c r="Q92" s="1">
        <v>44796</v>
      </c>
      <c r="R92" t="s">
        <v>51</v>
      </c>
      <c r="S92" t="s">
        <v>194</v>
      </c>
      <c r="T92">
        <v>2022</v>
      </c>
      <c r="U92">
        <v>683</v>
      </c>
      <c r="V92">
        <v>664</v>
      </c>
      <c r="W92" t="s">
        <v>36</v>
      </c>
      <c r="X92">
        <v>1158000</v>
      </c>
      <c r="Y92">
        <v>0.48859999999999998</v>
      </c>
      <c r="Z92">
        <v>27</v>
      </c>
      <c r="AA92" t="s">
        <v>71</v>
      </c>
      <c r="AB92" t="s">
        <v>38</v>
      </c>
      <c r="AC92" t="s">
        <v>81</v>
      </c>
      <c r="AD92">
        <v>47146.22</v>
      </c>
      <c r="AE92" t="b">
        <v>0</v>
      </c>
      <c r="AF92">
        <v>1216270.76</v>
      </c>
    </row>
    <row r="93" spans="1:32" x14ac:dyDescent="0.3">
      <c r="A93" t="s">
        <v>296</v>
      </c>
      <c r="B93" t="s">
        <v>297</v>
      </c>
      <c r="C93" t="s">
        <v>98</v>
      </c>
      <c r="D93" t="s">
        <v>31</v>
      </c>
      <c r="E93">
        <v>1357900</v>
      </c>
      <c r="F93">
        <v>60</v>
      </c>
      <c r="G93">
        <v>12.95</v>
      </c>
      <c r="H93">
        <v>1015484.15</v>
      </c>
      <c r="I93">
        <v>59</v>
      </c>
      <c r="J93">
        <v>0</v>
      </c>
      <c r="K93">
        <v>0</v>
      </c>
      <c r="L93">
        <v>2</v>
      </c>
      <c r="M93">
        <v>142117484.08000001</v>
      </c>
      <c r="N93" s="1">
        <v>45596</v>
      </c>
      <c r="O93" t="s">
        <v>116</v>
      </c>
      <c r="P93" t="s">
        <v>44</v>
      </c>
      <c r="Q93" s="1">
        <v>45157</v>
      </c>
      <c r="R93" t="s">
        <v>34</v>
      </c>
      <c r="S93" t="s">
        <v>35</v>
      </c>
      <c r="T93">
        <v>2023</v>
      </c>
      <c r="U93">
        <v>685</v>
      </c>
      <c r="V93">
        <v>667</v>
      </c>
      <c r="W93" t="s">
        <v>63</v>
      </c>
      <c r="X93">
        <v>4066000</v>
      </c>
      <c r="Y93">
        <v>9.11E-2</v>
      </c>
      <c r="Z93">
        <v>33</v>
      </c>
      <c r="AA93" t="s">
        <v>76</v>
      </c>
      <c r="AB93" t="s">
        <v>38</v>
      </c>
      <c r="AC93" t="s">
        <v>54</v>
      </c>
      <c r="AD93">
        <v>30861.65</v>
      </c>
      <c r="AE93" t="b">
        <v>0</v>
      </c>
      <c r="AF93">
        <v>1350911.25</v>
      </c>
    </row>
    <row r="94" spans="1:32" x14ac:dyDescent="0.3">
      <c r="A94" t="s">
        <v>298</v>
      </c>
      <c r="B94" t="s">
        <v>299</v>
      </c>
      <c r="C94" t="s">
        <v>67</v>
      </c>
      <c r="D94" t="s">
        <v>31</v>
      </c>
      <c r="E94">
        <v>1487400</v>
      </c>
      <c r="F94">
        <v>60</v>
      </c>
      <c r="G94">
        <v>10.91</v>
      </c>
      <c r="H94">
        <v>885912.07</v>
      </c>
      <c r="I94">
        <v>0</v>
      </c>
      <c r="J94">
        <v>0</v>
      </c>
      <c r="K94">
        <v>0</v>
      </c>
      <c r="L94">
        <v>1</v>
      </c>
      <c r="M94">
        <v>142117484.08000001</v>
      </c>
      <c r="N94" s="1">
        <v>45596</v>
      </c>
      <c r="O94" t="s">
        <v>32</v>
      </c>
      <c r="P94" t="s">
        <v>33</v>
      </c>
      <c r="Q94" s="1">
        <v>44933</v>
      </c>
      <c r="R94" t="s">
        <v>89</v>
      </c>
      <c r="S94" t="s">
        <v>183</v>
      </c>
      <c r="T94">
        <v>2023</v>
      </c>
      <c r="U94">
        <v>685</v>
      </c>
      <c r="V94">
        <v>703</v>
      </c>
      <c r="W94" t="s">
        <v>57</v>
      </c>
      <c r="X94">
        <v>2633000</v>
      </c>
      <c r="Y94">
        <v>0.14710000000000001</v>
      </c>
      <c r="Z94">
        <v>61</v>
      </c>
      <c r="AA94" t="s">
        <v>71</v>
      </c>
      <c r="AB94" t="s">
        <v>38</v>
      </c>
      <c r="AC94" t="s">
        <v>54</v>
      </c>
      <c r="AD94">
        <v>32272.959999999999</v>
      </c>
      <c r="AE94" t="b">
        <v>0</v>
      </c>
      <c r="AF94">
        <v>1492249.26</v>
      </c>
    </row>
    <row r="95" spans="1:32" x14ac:dyDescent="0.3">
      <c r="A95" t="s">
        <v>300</v>
      </c>
      <c r="B95" t="s">
        <v>301</v>
      </c>
      <c r="C95" t="s">
        <v>98</v>
      </c>
      <c r="D95" t="s">
        <v>31</v>
      </c>
      <c r="E95">
        <v>1187700</v>
      </c>
      <c r="F95">
        <v>72</v>
      </c>
      <c r="G95">
        <v>10.84</v>
      </c>
      <c r="H95">
        <v>803581.31</v>
      </c>
      <c r="I95">
        <v>0</v>
      </c>
      <c r="J95">
        <v>0</v>
      </c>
      <c r="K95">
        <v>0</v>
      </c>
      <c r="L95">
        <v>1</v>
      </c>
      <c r="M95">
        <v>142117484.08000001</v>
      </c>
      <c r="N95" s="1">
        <v>45596</v>
      </c>
      <c r="O95" t="s">
        <v>32</v>
      </c>
      <c r="P95" t="s">
        <v>33</v>
      </c>
      <c r="Q95" s="1">
        <v>44994</v>
      </c>
      <c r="R95" t="s">
        <v>89</v>
      </c>
      <c r="S95" t="s">
        <v>90</v>
      </c>
      <c r="T95">
        <v>2023</v>
      </c>
      <c r="U95">
        <v>686</v>
      </c>
      <c r="V95">
        <v>684</v>
      </c>
      <c r="W95" t="s">
        <v>63</v>
      </c>
      <c r="X95">
        <v>3391000</v>
      </c>
      <c r="Y95">
        <v>7.9699999999999993E-2</v>
      </c>
      <c r="Z95">
        <v>55</v>
      </c>
      <c r="AA95" t="s">
        <v>108</v>
      </c>
      <c r="AB95" t="s">
        <v>38</v>
      </c>
      <c r="AC95" t="s">
        <v>54</v>
      </c>
      <c r="AD95">
        <v>22509.56</v>
      </c>
      <c r="AE95" t="b">
        <v>0</v>
      </c>
      <c r="AF95">
        <v>969690.67</v>
      </c>
    </row>
    <row r="96" spans="1:32" x14ac:dyDescent="0.3">
      <c r="A96" t="s">
        <v>302</v>
      </c>
      <c r="B96" t="s">
        <v>303</v>
      </c>
      <c r="C96" t="s">
        <v>30</v>
      </c>
      <c r="D96" t="s">
        <v>84</v>
      </c>
      <c r="E96">
        <v>336100</v>
      </c>
      <c r="F96">
        <v>60</v>
      </c>
      <c r="G96">
        <v>14.07</v>
      </c>
      <c r="H96">
        <v>173563.01</v>
      </c>
      <c r="I96">
        <v>25</v>
      </c>
      <c r="J96">
        <v>0</v>
      </c>
      <c r="K96">
        <v>0</v>
      </c>
      <c r="L96">
        <v>1</v>
      </c>
      <c r="M96">
        <v>142117484.08000001</v>
      </c>
      <c r="N96" s="1">
        <v>45596</v>
      </c>
      <c r="O96" t="s">
        <v>139</v>
      </c>
      <c r="P96" t="s">
        <v>44</v>
      </c>
      <c r="Q96" s="1">
        <v>44766</v>
      </c>
      <c r="R96" t="s">
        <v>45</v>
      </c>
      <c r="S96" t="s">
        <v>107</v>
      </c>
      <c r="T96">
        <v>2019</v>
      </c>
      <c r="U96">
        <v>686</v>
      </c>
      <c r="V96">
        <v>648</v>
      </c>
      <c r="W96" t="s">
        <v>63</v>
      </c>
      <c r="X96">
        <v>3432000</v>
      </c>
      <c r="Y96">
        <v>2.7400000000000001E-2</v>
      </c>
      <c r="Z96">
        <v>30</v>
      </c>
      <c r="AA96" t="s">
        <v>226</v>
      </c>
      <c r="AB96" t="s">
        <v>38</v>
      </c>
      <c r="AC96" t="s">
        <v>81</v>
      </c>
      <c r="AD96">
        <v>7832.66</v>
      </c>
      <c r="AE96" t="b">
        <v>1</v>
      </c>
      <c r="AF96">
        <v>314535.76</v>
      </c>
    </row>
    <row r="97" spans="1:32" x14ac:dyDescent="0.3">
      <c r="A97" t="s">
        <v>304</v>
      </c>
      <c r="B97" t="s">
        <v>305</v>
      </c>
      <c r="C97" t="s">
        <v>103</v>
      </c>
      <c r="D97" t="s">
        <v>31</v>
      </c>
      <c r="E97">
        <v>1380900</v>
      </c>
      <c r="F97">
        <v>60</v>
      </c>
      <c r="G97">
        <v>11.85</v>
      </c>
      <c r="H97">
        <v>457859.9</v>
      </c>
      <c r="I97">
        <v>0</v>
      </c>
      <c r="J97">
        <v>0</v>
      </c>
      <c r="K97">
        <v>0</v>
      </c>
      <c r="L97">
        <v>1</v>
      </c>
      <c r="M97">
        <v>142117484.08000001</v>
      </c>
      <c r="N97" s="1">
        <v>45596</v>
      </c>
      <c r="O97" t="s">
        <v>32</v>
      </c>
      <c r="P97" t="s">
        <v>50</v>
      </c>
      <c r="Q97" s="1">
        <v>44421</v>
      </c>
      <c r="R97" t="s">
        <v>89</v>
      </c>
      <c r="S97" t="s">
        <v>306</v>
      </c>
      <c r="T97">
        <v>2021</v>
      </c>
      <c r="U97">
        <v>686</v>
      </c>
      <c r="V97">
        <v>688</v>
      </c>
      <c r="W97" t="s">
        <v>57</v>
      </c>
      <c r="X97">
        <v>489000</v>
      </c>
      <c r="Y97">
        <v>0.75119999999999998</v>
      </c>
      <c r="Z97">
        <v>46</v>
      </c>
      <c r="AA97" t="s">
        <v>197</v>
      </c>
      <c r="AB97" t="s">
        <v>38</v>
      </c>
      <c r="AC97" t="s">
        <v>39</v>
      </c>
      <c r="AD97">
        <v>30612.79</v>
      </c>
      <c r="AE97" t="b">
        <v>0</v>
      </c>
      <c r="AF97">
        <v>989384.16</v>
      </c>
    </row>
    <row r="98" spans="1:32" x14ac:dyDescent="0.3">
      <c r="A98" t="s">
        <v>307</v>
      </c>
      <c r="B98" t="s">
        <v>308</v>
      </c>
      <c r="C98" t="s">
        <v>30</v>
      </c>
      <c r="D98" t="s">
        <v>31</v>
      </c>
      <c r="E98">
        <v>1739400</v>
      </c>
      <c r="F98">
        <v>48</v>
      </c>
      <c r="G98">
        <v>13.3</v>
      </c>
      <c r="H98">
        <v>748321.28000000003</v>
      </c>
      <c r="I98">
        <v>0</v>
      </c>
      <c r="J98">
        <v>0</v>
      </c>
      <c r="K98">
        <v>0</v>
      </c>
      <c r="L98">
        <v>1</v>
      </c>
      <c r="M98">
        <v>142117484.08000001</v>
      </c>
      <c r="N98" s="1">
        <v>45596</v>
      </c>
      <c r="O98" t="s">
        <v>32</v>
      </c>
      <c r="P98" t="s">
        <v>44</v>
      </c>
      <c r="Q98" s="1">
        <v>44793</v>
      </c>
      <c r="R98" t="s">
        <v>34</v>
      </c>
      <c r="S98" t="s">
        <v>123</v>
      </c>
      <c r="T98">
        <v>2022</v>
      </c>
      <c r="U98">
        <v>686</v>
      </c>
      <c r="V98">
        <v>649</v>
      </c>
      <c r="W98" t="s">
        <v>70</v>
      </c>
      <c r="X98">
        <v>3724000</v>
      </c>
      <c r="Y98">
        <v>0.1512</v>
      </c>
      <c r="Z98">
        <v>31</v>
      </c>
      <c r="AA98" t="s">
        <v>140</v>
      </c>
      <c r="AB98" t="s">
        <v>38</v>
      </c>
      <c r="AC98" t="s">
        <v>39</v>
      </c>
      <c r="AD98">
        <v>46923.16</v>
      </c>
      <c r="AE98" t="b">
        <v>0</v>
      </c>
      <c r="AF98">
        <v>1450125.87</v>
      </c>
    </row>
    <row r="99" spans="1:32" x14ac:dyDescent="0.3">
      <c r="A99" t="s">
        <v>309</v>
      </c>
      <c r="B99" t="s">
        <v>310</v>
      </c>
      <c r="C99" t="s">
        <v>30</v>
      </c>
      <c r="D99" t="s">
        <v>31</v>
      </c>
      <c r="E99">
        <v>580900</v>
      </c>
      <c r="F99">
        <v>84</v>
      </c>
      <c r="G99">
        <v>11.07</v>
      </c>
      <c r="H99">
        <v>422656.04</v>
      </c>
      <c r="I99">
        <v>0</v>
      </c>
      <c r="J99">
        <v>0</v>
      </c>
      <c r="K99">
        <v>0</v>
      </c>
      <c r="L99">
        <v>1</v>
      </c>
      <c r="M99">
        <v>142117484.08000001</v>
      </c>
      <c r="N99" s="1">
        <v>45596</v>
      </c>
      <c r="O99" t="s">
        <v>32</v>
      </c>
      <c r="P99" t="s">
        <v>33</v>
      </c>
      <c r="Q99" s="1">
        <v>44832</v>
      </c>
      <c r="R99" t="s">
        <v>61</v>
      </c>
      <c r="S99" t="s">
        <v>136</v>
      </c>
      <c r="T99">
        <v>2022</v>
      </c>
      <c r="U99">
        <v>687</v>
      </c>
      <c r="V99">
        <v>669</v>
      </c>
      <c r="W99" t="s">
        <v>63</v>
      </c>
      <c r="X99">
        <v>1410000</v>
      </c>
      <c r="Y99">
        <v>8.48E-2</v>
      </c>
      <c r="Z99">
        <v>46</v>
      </c>
      <c r="AA99" t="s">
        <v>58</v>
      </c>
      <c r="AB99" t="s">
        <v>38</v>
      </c>
      <c r="AC99" t="s">
        <v>54</v>
      </c>
      <c r="AD99">
        <v>9967.82</v>
      </c>
      <c r="AE99" t="b">
        <v>0</v>
      </c>
      <c r="AF99">
        <v>452168.97</v>
      </c>
    </row>
    <row r="100" spans="1:32" x14ac:dyDescent="0.3">
      <c r="A100" t="s">
        <v>311</v>
      </c>
      <c r="B100" t="s">
        <v>312</v>
      </c>
      <c r="C100" t="s">
        <v>42</v>
      </c>
      <c r="D100" t="s">
        <v>43</v>
      </c>
      <c r="E100">
        <v>231100</v>
      </c>
      <c r="F100">
        <v>72</v>
      </c>
      <c r="G100">
        <v>9.68</v>
      </c>
      <c r="H100">
        <v>108030.71</v>
      </c>
      <c r="I100">
        <v>0</v>
      </c>
      <c r="J100">
        <v>0</v>
      </c>
      <c r="K100">
        <v>0</v>
      </c>
      <c r="L100">
        <v>1</v>
      </c>
      <c r="M100">
        <v>142117484.08000001</v>
      </c>
      <c r="N100" s="1">
        <v>45596</v>
      </c>
      <c r="O100" t="s">
        <v>32</v>
      </c>
      <c r="P100" t="s">
        <v>50</v>
      </c>
      <c r="Q100" s="1">
        <v>44406</v>
      </c>
      <c r="R100" t="s">
        <v>51</v>
      </c>
      <c r="S100" t="s">
        <v>52</v>
      </c>
      <c r="T100">
        <v>2017</v>
      </c>
      <c r="U100">
        <v>687</v>
      </c>
      <c r="V100">
        <v>644</v>
      </c>
      <c r="W100" t="s">
        <v>57</v>
      </c>
      <c r="X100">
        <v>2593000</v>
      </c>
      <c r="Y100">
        <v>1.9599999999999999E-2</v>
      </c>
      <c r="Z100">
        <v>54</v>
      </c>
      <c r="AA100" t="s">
        <v>233</v>
      </c>
      <c r="AB100" t="s">
        <v>38</v>
      </c>
      <c r="AC100" t="s">
        <v>39</v>
      </c>
      <c r="AD100">
        <v>4244.12</v>
      </c>
      <c r="AE100" t="b">
        <v>0</v>
      </c>
      <c r="AF100">
        <v>159740.51</v>
      </c>
    </row>
    <row r="101" spans="1:32" x14ac:dyDescent="0.3">
      <c r="A101" t="s">
        <v>313</v>
      </c>
      <c r="B101" t="s">
        <v>314</v>
      </c>
      <c r="C101" t="s">
        <v>67</v>
      </c>
      <c r="D101" t="s">
        <v>31</v>
      </c>
      <c r="E101">
        <v>3040300</v>
      </c>
      <c r="F101">
        <v>60</v>
      </c>
      <c r="G101">
        <v>11.09</v>
      </c>
      <c r="H101">
        <v>2648777.58</v>
      </c>
      <c r="I101">
        <v>0</v>
      </c>
      <c r="J101">
        <v>0</v>
      </c>
      <c r="K101">
        <v>0</v>
      </c>
      <c r="L101">
        <v>1</v>
      </c>
      <c r="M101">
        <v>142117484.08000001</v>
      </c>
      <c r="N101" s="1">
        <v>45596</v>
      </c>
      <c r="O101" t="s">
        <v>32</v>
      </c>
      <c r="P101" t="s">
        <v>50</v>
      </c>
      <c r="Q101" s="1">
        <v>45355</v>
      </c>
      <c r="R101" t="s">
        <v>85</v>
      </c>
      <c r="S101" t="s">
        <v>130</v>
      </c>
      <c r="T101">
        <v>2024</v>
      </c>
      <c r="U101">
        <v>687</v>
      </c>
      <c r="V101">
        <v>677</v>
      </c>
      <c r="W101" t="s">
        <v>63</v>
      </c>
      <c r="X101">
        <v>3034000</v>
      </c>
      <c r="Y101">
        <v>0.26200000000000001</v>
      </c>
      <c r="Z101">
        <v>38</v>
      </c>
      <c r="AA101" t="s">
        <v>80</v>
      </c>
      <c r="AB101" t="s">
        <v>38</v>
      </c>
      <c r="AC101" t="s">
        <v>54</v>
      </c>
      <c r="AD101">
        <v>66240.03</v>
      </c>
      <c r="AE101" t="b">
        <v>0</v>
      </c>
      <c r="AF101">
        <v>3347247.1</v>
      </c>
    </row>
    <row r="102" spans="1:32" x14ac:dyDescent="0.3">
      <c r="A102" t="s">
        <v>315</v>
      </c>
      <c r="B102" t="s">
        <v>316</v>
      </c>
      <c r="C102" t="s">
        <v>30</v>
      </c>
      <c r="D102" t="s">
        <v>31</v>
      </c>
      <c r="E102">
        <v>809500</v>
      </c>
      <c r="F102">
        <v>48</v>
      </c>
      <c r="G102">
        <v>14.47</v>
      </c>
      <c r="H102">
        <v>317878.87</v>
      </c>
      <c r="I102">
        <v>0</v>
      </c>
      <c r="J102">
        <v>0</v>
      </c>
      <c r="K102">
        <v>0</v>
      </c>
      <c r="L102">
        <v>1</v>
      </c>
      <c r="M102">
        <v>142117484.08000001</v>
      </c>
      <c r="N102" s="1">
        <v>45596</v>
      </c>
      <c r="O102" t="s">
        <v>32</v>
      </c>
      <c r="P102" t="s">
        <v>33</v>
      </c>
      <c r="Q102" s="1">
        <v>44742</v>
      </c>
      <c r="R102" t="s">
        <v>51</v>
      </c>
      <c r="S102" t="s">
        <v>194</v>
      </c>
      <c r="T102">
        <v>2022</v>
      </c>
      <c r="U102">
        <v>687</v>
      </c>
      <c r="V102">
        <v>640</v>
      </c>
      <c r="W102" t="s">
        <v>70</v>
      </c>
      <c r="X102">
        <v>1148000</v>
      </c>
      <c r="Y102">
        <v>0.23319999999999999</v>
      </c>
      <c r="Z102">
        <v>36</v>
      </c>
      <c r="AA102" t="s">
        <v>233</v>
      </c>
      <c r="AB102" t="s">
        <v>38</v>
      </c>
      <c r="AC102" t="s">
        <v>81</v>
      </c>
      <c r="AD102">
        <v>22312.11</v>
      </c>
      <c r="AE102" t="b">
        <v>1</v>
      </c>
      <c r="AF102">
        <v>772732.19</v>
      </c>
    </row>
    <row r="103" spans="1:32" x14ac:dyDescent="0.3">
      <c r="A103" t="s">
        <v>317</v>
      </c>
      <c r="B103" t="s">
        <v>318</v>
      </c>
      <c r="C103" t="s">
        <v>67</v>
      </c>
      <c r="D103" t="s">
        <v>84</v>
      </c>
      <c r="E103">
        <v>1752000</v>
      </c>
      <c r="F103">
        <v>36</v>
      </c>
      <c r="G103">
        <v>13.58</v>
      </c>
      <c r="H103">
        <v>764974.63</v>
      </c>
      <c r="I103">
        <v>0</v>
      </c>
      <c r="J103">
        <v>0</v>
      </c>
      <c r="K103">
        <v>86212.01</v>
      </c>
      <c r="L103">
        <v>1</v>
      </c>
      <c r="M103">
        <v>142117484.08000001</v>
      </c>
      <c r="N103" s="1">
        <v>45596</v>
      </c>
      <c r="O103" t="s">
        <v>32</v>
      </c>
      <c r="P103" t="s">
        <v>74</v>
      </c>
      <c r="Q103" s="1">
        <v>45011</v>
      </c>
      <c r="R103" t="s">
        <v>61</v>
      </c>
      <c r="S103" t="s">
        <v>62</v>
      </c>
      <c r="T103">
        <v>2020</v>
      </c>
      <c r="U103">
        <v>687</v>
      </c>
      <c r="V103">
        <v>642</v>
      </c>
      <c r="W103" t="s">
        <v>57</v>
      </c>
      <c r="X103">
        <v>2970000</v>
      </c>
      <c r="Y103">
        <v>0.24049999999999999</v>
      </c>
      <c r="Z103">
        <v>49</v>
      </c>
      <c r="AA103" t="s">
        <v>58</v>
      </c>
      <c r="AB103" t="s">
        <v>38</v>
      </c>
      <c r="AC103" t="s">
        <v>39</v>
      </c>
      <c r="AD103">
        <v>59522.44</v>
      </c>
      <c r="AE103" t="b">
        <v>0</v>
      </c>
      <c r="AF103">
        <v>1456771.08</v>
      </c>
    </row>
    <row r="104" spans="1:32" x14ac:dyDescent="0.3">
      <c r="A104" t="s">
        <v>319</v>
      </c>
      <c r="B104" t="s">
        <v>320</v>
      </c>
      <c r="C104" t="s">
        <v>103</v>
      </c>
      <c r="D104" t="s">
        <v>31</v>
      </c>
      <c r="E104">
        <v>1652500</v>
      </c>
      <c r="F104">
        <v>48</v>
      </c>
      <c r="G104">
        <v>9.7100000000000009</v>
      </c>
      <c r="H104">
        <v>794648.17</v>
      </c>
      <c r="I104">
        <v>0</v>
      </c>
      <c r="J104">
        <v>0</v>
      </c>
      <c r="K104">
        <v>0</v>
      </c>
      <c r="L104">
        <v>1</v>
      </c>
      <c r="M104">
        <v>142117484.08000001</v>
      </c>
      <c r="N104" s="1">
        <v>45596</v>
      </c>
      <c r="O104" t="s">
        <v>32</v>
      </c>
      <c r="P104" t="s">
        <v>33</v>
      </c>
      <c r="Q104" s="1">
        <v>44776</v>
      </c>
      <c r="R104" t="s">
        <v>51</v>
      </c>
      <c r="S104" t="s">
        <v>194</v>
      </c>
      <c r="T104">
        <v>2022</v>
      </c>
      <c r="U104">
        <v>688</v>
      </c>
      <c r="V104">
        <v>644</v>
      </c>
      <c r="W104" t="s">
        <v>70</v>
      </c>
      <c r="X104">
        <v>550000</v>
      </c>
      <c r="Y104">
        <v>0.90939999999999999</v>
      </c>
      <c r="Z104">
        <v>33</v>
      </c>
      <c r="AA104" t="s">
        <v>58</v>
      </c>
      <c r="AB104" t="s">
        <v>38</v>
      </c>
      <c r="AC104" t="s">
        <v>81</v>
      </c>
      <c r="AD104">
        <v>41681.9</v>
      </c>
      <c r="AE104" t="b">
        <v>0</v>
      </c>
      <c r="AF104">
        <v>1612060.81</v>
      </c>
    </row>
    <row r="105" spans="1:32" x14ac:dyDescent="0.3">
      <c r="A105" t="s">
        <v>321</v>
      </c>
      <c r="B105" t="s">
        <v>322</v>
      </c>
      <c r="C105" t="s">
        <v>67</v>
      </c>
      <c r="D105" t="s">
        <v>31</v>
      </c>
      <c r="E105">
        <v>2579000</v>
      </c>
      <c r="F105">
        <v>36</v>
      </c>
      <c r="G105">
        <v>9.17</v>
      </c>
      <c r="H105">
        <v>1035831.18</v>
      </c>
      <c r="I105">
        <v>0</v>
      </c>
      <c r="J105">
        <v>0</v>
      </c>
      <c r="K105">
        <v>0</v>
      </c>
      <c r="L105">
        <v>1</v>
      </c>
      <c r="M105">
        <v>142117484.08000001</v>
      </c>
      <c r="N105" s="1">
        <v>45596</v>
      </c>
      <c r="O105" t="s">
        <v>32</v>
      </c>
      <c r="P105" t="s">
        <v>33</v>
      </c>
      <c r="Q105" s="1">
        <v>44946</v>
      </c>
      <c r="R105" t="s">
        <v>45</v>
      </c>
      <c r="S105" t="s">
        <v>46</v>
      </c>
      <c r="T105">
        <v>2023</v>
      </c>
      <c r="U105">
        <v>688</v>
      </c>
      <c r="V105">
        <v>651</v>
      </c>
      <c r="W105" t="s">
        <v>57</v>
      </c>
      <c r="X105">
        <v>2014000</v>
      </c>
      <c r="Y105">
        <v>0.4899</v>
      </c>
      <c r="Z105">
        <v>43</v>
      </c>
      <c r="AA105" t="s">
        <v>104</v>
      </c>
      <c r="AB105" t="s">
        <v>38</v>
      </c>
      <c r="AC105" t="s">
        <v>54</v>
      </c>
      <c r="AD105">
        <v>82215.710000000006</v>
      </c>
      <c r="AE105" t="b">
        <v>0</v>
      </c>
      <c r="AF105">
        <v>2079298.66</v>
      </c>
    </row>
    <row r="106" spans="1:32" x14ac:dyDescent="0.3">
      <c r="A106" t="s">
        <v>323</v>
      </c>
      <c r="B106" t="s">
        <v>324</v>
      </c>
      <c r="C106" t="s">
        <v>98</v>
      </c>
      <c r="D106" t="s">
        <v>31</v>
      </c>
      <c r="E106">
        <v>1135600</v>
      </c>
      <c r="F106">
        <v>60</v>
      </c>
      <c r="G106">
        <v>13.47</v>
      </c>
      <c r="H106">
        <v>874498.99</v>
      </c>
      <c r="I106">
        <v>0</v>
      </c>
      <c r="J106">
        <v>0</v>
      </c>
      <c r="K106">
        <v>0</v>
      </c>
      <c r="L106">
        <v>1</v>
      </c>
      <c r="M106">
        <v>142117484.08000001</v>
      </c>
      <c r="N106" s="1">
        <v>45596</v>
      </c>
      <c r="O106" t="s">
        <v>32</v>
      </c>
      <c r="P106" t="s">
        <v>44</v>
      </c>
      <c r="Q106" s="1">
        <v>45294</v>
      </c>
      <c r="R106" t="s">
        <v>171</v>
      </c>
      <c r="S106" t="s">
        <v>325</v>
      </c>
      <c r="T106">
        <v>2024</v>
      </c>
      <c r="U106">
        <v>689</v>
      </c>
      <c r="V106">
        <v>648</v>
      </c>
      <c r="W106" t="s">
        <v>70</v>
      </c>
      <c r="X106">
        <v>815000</v>
      </c>
      <c r="Y106">
        <v>0.38450000000000001</v>
      </c>
      <c r="Z106">
        <v>43</v>
      </c>
      <c r="AA106" t="s">
        <v>113</v>
      </c>
      <c r="AB106" t="s">
        <v>38</v>
      </c>
      <c r="AC106" t="s">
        <v>81</v>
      </c>
      <c r="AD106">
        <v>26112.43</v>
      </c>
      <c r="AE106" t="b">
        <v>0</v>
      </c>
      <c r="AF106">
        <v>1017933.77</v>
      </c>
    </row>
    <row r="107" spans="1:32" x14ac:dyDescent="0.3">
      <c r="A107" t="s">
        <v>326</v>
      </c>
      <c r="B107" t="s">
        <v>327</v>
      </c>
      <c r="C107" t="s">
        <v>103</v>
      </c>
      <c r="D107" t="s">
        <v>31</v>
      </c>
      <c r="E107">
        <v>2324000</v>
      </c>
      <c r="F107">
        <v>72</v>
      </c>
      <c r="G107">
        <v>14.19</v>
      </c>
      <c r="H107">
        <v>1817973.22</v>
      </c>
      <c r="I107">
        <v>25</v>
      </c>
      <c r="J107">
        <v>0</v>
      </c>
      <c r="K107">
        <v>0</v>
      </c>
      <c r="L107">
        <v>1</v>
      </c>
      <c r="M107">
        <v>142117484.08000001</v>
      </c>
      <c r="N107" s="1">
        <v>45596</v>
      </c>
      <c r="O107" t="s">
        <v>139</v>
      </c>
      <c r="P107" t="s">
        <v>74</v>
      </c>
      <c r="Q107" s="1">
        <v>45207</v>
      </c>
      <c r="R107" t="s">
        <v>99</v>
      </c>
      <c r="S107" t="s">
        <v>100</v>
      </c>
      <c r="T107">
        <v>2023</v>
      </c>
      <c r="U107">
        <v>689</v>
      </c>
      <c r="V107">
        <v>714</v>
      </c>
      <c r="W107" t="s">
        <v>36</v>
      </c>
      <c r="X107">
        <v>2037000</v>
      </c>
      <c r="Y107">
        <v>0.28349999999999997</v>
      </c>
      <c r="Z107">
        <v>58</v>
      </c>
      <c r="AA107" t="s">
        <v>108</v>
      </c>
      <c r="AB107" t="s">
        <v>38</v>
      </c>
      <c r="AC107" t="s">
        <v>54</v>
      </c>
      <c r="AD107">
        <v>48124.5</v>
      </c>
      <c r="AE107" t="b">
        <v>0</v>
      </c>
      <c r="AF107">
        <v>2133256.38</v>
      </c>
    </row>
    <row r="108" spans="1:32" x14ac:dyDescent="0.3">
      <c r="A108" t="s">
        <v>328</v>
      </c>
      <c r="B108" t="s">
        <v>329</v>
      </c>
      <c r="C108" t="s">
        <v>30</v>
      </c>
      <c r="D108" t="s">
        <v>31</v>
      </c>
      <c r="E108">
        <v>514500</v>
      </c>
      <c r="F108">
        <v>36</v>
      </c>
      <c r="G108">
        <v>13.77</v>
      </c>
      <c r="H108">
        <v>203440.88</v>
      </c>
      <c r="I108">
        <v>0</v>
      </c>
      <c r="J108">
        <v>0</v>
      </c>
      <c r="K108">
        <v>0</v>
      </c>
      <c r="L108">
        <v>1</v>
      </c>
      <c r="M108">
        <v>142117484.08000001</v>
      </c>
      <c r="N108" s="1">
        <v>45596</v>
      </c>
      <c r="O108" t="s">
        <v>32</v>
      </c>
      <c r="P108" t="s">
        <v>74</v>
      </c>
      <c r="Q108" s="1">
        <v>44901</v>
      </c>
      <c r="R108" t="s">
        <v>45</v>
      </c>
      <c r="S108" t="s">
        <v>107</v>
      </c>
      <c r="T108">
        <v>2022</v>
      </c>
      <c r="U108">
        <v>690</v>
      </c>
      <c r="V108">
        <v>652</v>
      </c>
      <c r="W108" t="s">
        <v>36</v>
      </c>
      <c r="X108">
        <v>4998000</v>
      </c>
      <c r="Y108">
        <v>4.2099999999999999E-2</v>
      </c>
      <c r="Z108">
        <v>53</v>
      </c>
      <c r="AA108" t="s">
        <v>58</v>
      </c>
      <c r="AB108" t="s">
        <v>38</v>
      </c>
      <c r="AC108" t="s">
        <v>81</v>
      </c>
      <c r="AD108">
        <v>17526.97</v>
      </c>
      <c r="AE108" t="b">
        <v>0</v>
      </c>
      <c r="AF108">
        <v>487143.1</v>
      </c>
    </row>
    <row r="109" spans="1:32" x14ac:dyDescent="0.3">
      <c r="A109" t="s">
        <v>330</v>
      </c>
      <c r="B109" t="s">
        <v>331</v>
      </c>
      <c r="C109" t="s">
        <v>103</v>
      </c>
      <c r="D109" t="s">
        <v>84</v>
      </c>
      <c r="E109">
        <v>793400</v>
      </c>
      <c r="F109">
        <v>36</v>
      </c>
      <c r="G109">
        <v>12.79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142117484.08000001</v>
      </c>
      <c r="N109" s="1">
        <v>45596</v>
      </c>
      <c r="O109" t="s">
        <v>32</v>
      </c>
      <c r="P109" t="s">
        <v>44</v>
      </c>
      <c r="Q109" s="1">
        <v>44475</v>
      </c>
      <c r="R109" t="s">
        <v>51</v>
      </c>
      <c r="S109" t="s">
        <v>79</v>
      </c>
      <c r="T109">
        <v>2016</v>
      </c>
      <c r="U109">
        <v>690</v>
      </c>
      <c r="V109">
        <v>693</v>
      </c>
      <c r="W109" t="s">
        <v>63</v>
      </c>
      <c r="X109">
        <v>2139000</v>
      </c>
      <c r="Y109">
        <v>0.14949999999999999</v>
      </c>
      <c r="Z109">
        <v>35</v>
      </c>
      <c r="AA109" t="s">
        <v>80</v>
      </c>
      <c r="AB109" t="s">
        <v>38</v>
      </c>
      <c r="AC109" t="s">
        <v>54</v>
      </c>
      <c r="AD109">
        <v>26652.6</v>
      </c>
      <c r="AE109" t="b">
        <v>0</v>
      </c>
      <c r="AF109">
        <v>588080.87</v>
      </c>
    </row>
    <row r="110" spans="1:32" x14ac:dyDescent="0.3">
      <c r="A110" t="s">
        <v>332</v>
      </c>
      <c r="B110" t="s">
        <v>333</v>
      </c>
      <c r="C110" t="s">
        <v>98</v>
      </c>
      <c r="D110" t="s">
        <v>31</v>
      </c>
      <c r="E110">
        <v>931800</v>
      </c>
      <c r="F110">
        <v>48</v>
      </c>
      <c r="G110">
        <v>10.53</v>
      </c>
      <c r="H110">
        <v>744555.82</v>
      </c>
      <c r="I110">
        <v>117</v>
      </c>
      <c r="J110">
        <v>0</v>
      </c>
      <c r="K110">
        <v>0</v>
      </c>
      <c r="L110">
        <v>3</v>
      </c>
      <c r="M110">
        <v>142117484.08000001</v>
      </c>
      <c r="N110" s="1">
        <v>45596</v>
      </c>
      <c r="O110" t="s">
        <v>111</v>
      </c>
      <c r="P110" t="s">
        <v>50</v>
      </c>
      <c r="Q110" s="1">
        <v>45256</v>
      </c>
      <c r="R110" t="s">
        <v>61</v>
      </c>
      <c r="S110" t="s">
        <v>136</v>
      </c>
      <c r="T110">
        <v>2023</v>
      </c>
      <c r="U110">
        <v>691</v>
      </c>
      <c r="V110">
        <v>682</v>
      </c>
      <c r="W110" t="s">
        <v>63</v>
      </c>
      <c r="X110">
        <v>1729000</v>
      </c>
      <c r="Y110">
        <v>0.16569999999999999</v>
      </c>
      <c r="Z110">
        <v>29</v>
      </c>
      <c r="AA110" t="s">
        <v>71</v>
      </c>
      <c r="AB110" t="s">
        <v>38</v>
      </c>
      <c r="AC110" t="s">
        <v>54</v>
      </c>
      <c r="AD110">
        <v>23870.73</v>
      </c>
      <c r="AE110" t="b">
        <v>0</v>
      </c>
      <c r="AF110">
        <v>1302158.3500000001</v>
      </c>
    </row>
    <row r="111" spans="1:32" x14ac:dyDescent="0.3">
      <c r="A111" t="s">
        <v>334</v>
      </c>
      <c r="B111" t="s">
        <v>335</v>
      </c>
      <c r="C111" t="s">
        <v>103</v>
      </c>
      <c r="D111" t="s">
        <v>31</v>
      </c>
      <c r="E111">
        <v>850400</v>
      </c>
      <c r="F111">
        <v>48</v>
      </c>
      <c r="G111">
        <v>7.59</v>
      </c>
      <c r="H111">
        <v>398406.89</v>
      </c>
      <c r="I111">
        <v>0</v>
      </c>
      <c r="J111">
        <v>0</v>
      </c>
      <c r="K111">
        <v>0</v>
      </c>
      <c r="L111">
        <v>1</v>
      </c>
      <c r="M111">
        <v>142117484.08000001</v>
      </c>
      <c r="N111" s="1">
        <v>45596</v>
      </c>
      <c r="O111" t="s">
        <v>32</v>
      </c>
      <c r="P111" t="s">
        <v>50</v>
      </c>
      <c r="Q111" s="1">
        <v>44813</v>
      </c>
      <c r="R111" t="s">
        <v>51</v>
      </c>
      <c r="S111" t="s">
        <v>194</v>
      </c>
      <c r="T111">
        <v>2022</v>
      </c>
      <c r="U111">
        <v>691</v>
      </c>
      <c r="V111">
        <v>654</v>
      </c>
      <c r="W111" t="s">
        <v>70</v>
      </c>
      <c r="X111">
        <v>1899000</v>
      </c>
      <c r="Y111">
        <v>0.13020000000000001</v>
      </c>
      <c r="Z111">
        <v>55</v>
      </c>
      <c r="AA111" t="s">
        <v>58</v>
      </c>
      <c r="AB111" t="s">
        <v>38</v>
      </c>
      <c r="AC111" t="s">
        <v>54</v>
      </c>
      <c r="AD111">
        <v>20597.47</v>
      </c>
      <c r="AE111" t="b">
        <v>0</v>
      </c>
      <c r="AF111">
        <v>687780.21</v>
      </c>
    </row>
    <row r="112" spans="1:32" x14ac:dyDescent="0.3">
      <c r="A112" t="s">
        <v>336</v>
      </c>
      <c r="B112" t="s">
        <v>337</v>
      </c>
      <c r="C112" t="s">
        <v>67</v>
      </c>
      <c r="D112" t="s">
        <v>31</v>
      </c>
      <c r="E112">
        <v>2597600</v>
      </c>
      <c r="F112">
        <v>84</v>
      </c>
      <c r="G112">
        <v>9.19</v>
      </c>
      <c r="H112">
        <v>1699975.24</v>
      </c>
      <c r="I112">
        <v>0</v>
      </c>
      <c r="J112">
        <v>0</v>
      </c>
      <c r="K112">
        <v>0</v>
      </c>
      <c r="L112">
        <v>1</v>
      </c>
      <c r="M112">
        <v>142117484.08000001</v>
      </c>
      <c r="N112" s="1">
        <v>45596</v>
      </c>
      <c r="O112" t="s">
        <v>32</v>
      </c>
      <c r="P112" t="s">
        <v>33</v>
      </c>
      <c r="Q112" s="1">
        <v>44814</v>
      </c>
      <c r="R112" t="s">
        <v>94</v>
      </c>
      <c r="S112" t="s">
        <v>117</v>
      </c>
      <c r="T112">
        <v>2022</v>
      </c>
      <c r="U112">
        <v>691</v>
      </c>
      <c r="V112">
        <v>682</v>
      </c>
      <c r="W112" t="s">
        <v>57</v>
      </c>
      <c r="X112">
        <v>2261000</v>
      </c>
      <c r="Y112">
        <v>0.22309999999999999</v>
      </c>
      <c r="Z112">
        <v>29</v>
      </c>
      <c r="AA112" t="s">
        <v>148</v>
      </c>
      <c r="AB112" t="s">
        <v>38</v>
      </c>
      <c r="AC112" t="s">
        <v>54</v>
      </c>
      <c r="AD112">
        <v>42043.9</v>
      </c>
      <c r="AE112" t="b">
        <v>0</v>
      </c>
      <c r="AF112">
        <v>2307118.5</v>
      </c>
    </row>
    <row r="113" spans="1:32" x14ac:dyDescent="0.3">
      <c r="A113" t="s">
        <v>338</v>
      </c>
      <c r="B113" t="s">
        <v>339</v>
      </c>
      <c r="C113" t="s">
        <v>67</v>
      </c>
      <c r="D113" t="s">
        <v>31</v>
      </c>
      <c r="E113">
        <v>772800</v>
      </c>
      <c r="F113">
        <v>36</v>
      </c>
      <c r="G113">
        <v>9.8699999999999992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142117484.08000001</v>
      </c>
      <c r="N113" s="1">
        <v>45596</v>
      </c>
      <c r="O113" t="s">
        <v>32</v>
      </c>
      <c r="P113" t="s">
        <v>74</v>
      </c>
      <c r="Q113" s="1">
        <v>44411</v>
      </c>
      <c r="R113" t="s">
        <v>99</v>
      </c>
      <c r="S113" t="s">
        <v>200</v>
      </c>
      <c r="T113">
        <v>2021</v>
      </c>
      <c r="U113">
        <v>692</v>
      </c>
      <c r="V113">
        <v>719</v>
      </c>
      <c r="W113" t="s">
        <v>70</v>
      </c>
      <c r="X113">
        <v>4729000</v>
      </c>
      <c r="Y113">
        <v>6.3200000000000006E-2</v>
      </c>
      <c r="Z113">
        <v>26</v>
      </c>
      <c r="AA113" t="s">
        <v>80</v>
      </c>
      <c r="AB113" t="s">
        <v>38</v>
      </c>
      <c r="AC113" t="s">
        <v>54</v>
      </c>
      <c r="AD113">
        <v>24888.94</v>
      </c>
      <c r="AE113" t="b">
        <v>0</v>
      </c>
      <c r="AF113">
        <v>604678.68000000005</v>
      </c>
    </row>
    <row r="114" spans="1:32" x14ac:dyDescent="0.3">
      <c r="A114" t="s">
        <v>340</v>
      </c>
      <c r="B114" t="s">
        <v>341</v>
      </c>
      <c r="C114" t="s">
        <v>30</v>
      </c>
      <c r="D114" t="s">
        <v>31</v>
      </c>
      <c r="E114">
        <v>561700</v>
      </c>
      <c r="F114">
        <v>72</v>
      </c>
      <c r="G114">
        <v>9.4</v>
      </c>
      <c r="H114">
        <v>336267.79</v>
      </c>
      <c r="I114">
        <v>694</v>
      </c>
      <c r="J114">
        <v>0</v>
      </c>
      <c r="K114">
        <v>0</v>
      </c>
      <c r="L114">
        <v>3</v>
      </c>
      <c r="M114">
        <v>142117484.08000001</v>
      </c>
      <c r="N114" s="1">
        <v>45596</v>
      </c>
      <c r="O114" t="s">
        <v>129</v>
      </c>
      <c r="P114" t="s">
        <v>50</v>
      </c>
      <c r="Q114" s="1">
        <v>44746</v>
      </c>
      <c r="R114" t="s">
        <v>99</v>
      </c>
      <c r="S114" t="s">
        <v>200</v>
      </c>
      <c r="T114">
        <v>2022</v>
      </c>
      <c r="U114">
        <v>692</v>
      </c>
      <c r="V114">
        <v>656</v>
      </c>
      <c r="W114" t="s">
        <v>70</v>
      </c>
      <c r="X114">
        <v>3350000</v>
      </c>
      <c r="Y114">
        <v>3.6700000000000003E-2</v>
      </c>
      <c r="Z114">
        <v>54</v>
      </c>
      <c r="AA114" t="s">
        <v>91</v>
      </c>
      <c r="AB114" t="s">
        <v>38</v>
      </c>
      <c r="AC114" t="s">
        <v>81</v>
      </c>
      <c r="AD114">
        <v>10236.81</v>
      </c>
      <c r="AE114" t="b">
        <v>0</v>
      </c>
      <c r="AF114">
        <v>506997.58</v>
      </c>
    </row>
    <row r="115" spans="1:32" x14ac:dyDescent="0.3">
      <c r="A115" t="s">
        <v>342</v>
      </c>
      <c r="B115" t="s">
        <v>343</v>
      </c>
      <c r="C115" t="s">
        <v>103</v>
      </c>
      <c r="D115" t="s">
        <v>31</v>
      </c>
      <c r="E115">
        <v>1469900</v>
      </c>
      <c r="F115">
        <v>72</v>
      </c>
      <c r="G115">
        <v>12.92</v>
      </c>
      <c r="H115">
        <v>1381966.63</v>
      </c>
      <c r="I115">
        <v>3</v>
      </c>
      <c r="J115">
        <v>0</v>
      </c>
      <c r="K115">
        <v>0</v>
      </c>
      <c r="L115">
        <v>1</v>
      </c>
      <c r="M115">
        <v>142117484.08000001</v>
      </c>
      <c r="N115" s="1">
        <v>45596</v>
      </c>
      <c r="O115" t="s">
        <v>139</v>
      </c>
      <c r="P115" t="s">
        <v>33</v>
      </c>
      <c r="Q115" s="1">
        <v>45527</v>
      </c>
      <c r="R115" t="s">
        <v>94</v>
      </c>
      <c r="S115" t="s">
        <v>95</v>
      </c>
      <c r="T115">
        <v>2024</v>
      </c>
      <c r="U115">
        <v>692</v>
      </c>
      <c r="V115">
        <v>685</v>
      </c>
      <c r="W115" t="s">
        <v>36</v>
      </c>
      <c r="X115">
        <v>4809000</v>
      </c>
      <c r="Y115">
        <v>7.3499999999999996E-2</v>
      </c>
      <c r="Z115">
        <v>46</v>
      </c>
      <c r="AA115" t="s">
        <v>37</v>
      </c>
      <c r="AB115" t="s">
        <v>38</v>
      </c>
      <c r="AC115" t="s">
        <v>54</v>
      </c>
      <c r="AD115">
        <v>29444.9</v>
      </c>
      <c r="AE115" t="b">
        <v>0</v>
      </c>
      <c r="AF115">
        <v>1838405.05</v>
      </c>
    </row>
    <row r="116" spans="1:32" x14ac:dyDescent="0.3">
      <c r="A116" t="s">
        <v>344</v>
      </c>
      <c r="B116" t="s">
        <v>345</v>
      </c>
      <c r="C116" t="s">
        <v>30</v>
      </c>
      <c r="D116" t="s">
        <v>31</v>
      </c>
      <c r="E116">
        <v>1099200</v>
      </c>
      <c r="F116">
        <v>36</v>
      </c>
      <c r="G116">
        <v>12.86</v>
      </c>
      <c r="H116">
        <v>1054223.1499999999</v>
      </c>
      <c r="I116">
        <v>0</v>
      </c>
      <c r="J116">
        <v>0</v>
      </c>
      <c r="K116">
        <v>0</v>
      </c>
      <c r="L116">
        <v>1</v>
      </c>
      <c r="M116">
        <v>142117484.08000001</v>
      </c>
      <c r="N116" s="1">
        <v>45596</v>
      </c>
      <c r="O116" t="s">
        <v>32</v>
      </c>
      <c r="P116" t="s">
        <v>74</v>
      </c>
      <c r="Q116" s="1">
        <v>45542</v>
      </c>
      <c r="R116" t="s">
        <v>34</v>
      </c>
      <c r="S116" t="s">
        <v>186</v>
      </c>
      <c r="T116">
        <v>2024</v>
      </c>
      <c r="U116">
        <v>692</v>
      </c>
      <c r="V116">
        <v>665</v>
      </c>
      <c r="W116" t="s">
        <v>70</v>
      </c>
      <c r="X116">
        <v>4449000</v>
      </c>
      <c r="Y116">
        <v>9.9699999999999997E-2</v>
      </c>
      <c r="Z116">
        <v>51</v>
      </c>
      <c r="AA116" t="s">
        <v>108</v>
      </c>
      <c r="AB116" t="s">
        <v>38</v>
      </c>
      <c r="AC116" t="s">
        <v>81</v>
      </c>
      <c r="AD116">
        <v>36962.31</v>
      </c>
      <c r="AE116" t="b">
        <v>0</v>
      </c>
      <c r="AF116">
        <v>1481789.57</v>
      </c>
    </row>
    <row r="117" spans="1:32" x14ac:dyDescent="0.3">
      <c r="A117" t="s">
        <v>346</v>
      </c>
      <c r="B117" t="s">
        <v>347</v>
      </c>
      <c r="C117" t="s">
        <v>103</v>
      </c>
      <c r="D117" t="s">
        <v>31</v>
      </c>
      <c r="E117">
        <v>1892700</v>
      </c>
      <c r="F117">
        <v>72</v>
      </c>
      <c r="G117">
        <v>10.210000000000001</v>
      </c>
      <c r="H117">
        <v>1199636.54</v>
      </c>
      <c r="I117">
        <v>0</v>
      </c>
      <c r="J117">
        <v>0</v>
      </c>
      <c r="K117">
        <v>0</v>
      </c>
      <c r="L117">
        <v>1</v>
      </c>
      <c r="M117">
        <v>142117484.08000001</v>
      </c>
      <c r="N117" s="1">
        <v>45596</v>
      </c>
      <c r="O117" t="s">
        <v>32</v>
      </c>
      <c r="P117" t="s">
        <v>74</v>
      </c>
      <c r="Q117" s="1">
        <v>44921</v>
      </c>
      <c r="R117" t="s">
        <v>94</v>
      </c>
      <c r="S117" t="s">
        <v>95</v>
      </c>
      <c r="T117">
        <v>2022</v>
      </c>
      <c r="U117">
        <v>693</v>
      </c>
      <c r="V117">
        <v>660</v>
      </c>
      <c r="W117" t="s">
        <v>63</v>
      </c>
      <c r="X117">
        <v>3521000</v>
      </c>
      <c r="Y117">
        <v>0.1202</v>
      </c>
      <c r="Z117">
        <v>38</v>
      </c>
      <c r="AA117" t="s">
        <v>233</v>
      </c>
      <c r="AB117" t="s">
        <v>38</v>
      </c>
      <c r="AC117" t="s">
        <v>39</v>
      </c>
      <c r="AD117">
        <v>35264.620000000003</v>
      </c>
      <c r="AE117" t="b">
        <v>0</v>
      </c>
      <c r="AF117">
        <v>2512073.2599999998</v>
      </c>
    </row>
    <row r="118" spans="1:32" x14ac:dyDescent="0.3">
      <c r="A118" t="s">
        <v>348</v>
      </c>
      <c r="B118" t="s">
        <v>349</v>
      </c>
      <c r="C118" t="s">
        <v>67</v>
      </c>
      <c r="D118" t="s">
        <v>31</v>
      </c>
      <c r="E118">
        <v>2750600</v>
      </c>
      <c r="F118">
        <v>60</v>
      </c>
      <c r="G118">
        <v>8.7200000000000006</v>
      </c>
      <c r="H118">
        <v>1725140.18</v>
      </c>
      <c r="I118">
        <v>0</v>
      </c>
      <c r="J118">
        <v>0</v>
      </c>
      <c r="K118">
        <v>0</v>
      </c>
      <c r="L118">
        <v>1</v>
      </c>
      <c r="M118">
        <v>142117484.08000001</v>
      </c>
      <c r="N118" s="1">
        <v>45596</v>
      </c>
      <c r="O118" t="s">
        <v>32</v>
      </c>
      <c r="P118" t="s">
        <v>50</v>
      </c>
      <c r="Q118" s="1">
        <v>44857</v>
      </c>
      <c r="R118" t="s">
        <v>89</v>
      </c>
      <c r="S118" t="s">
        <v>112</v>
      </c>
      <c r="T118">
        <v>2022</v>
      </c>
      <c r="U118">
        <v>694</v>
      </c>
      <c r="V118">
        <v>692</v>
      </c>
      <c r="W118" t="s">
        <v>63</v>
      </c>
      <c r="X118">
        <v>3428000</v>
      </c>
      <c r="Y118">
        <v>0.1986</v>
      </c>
      <c r="Z118">
        <v>46</v>
      </c>
      <c r="AA118" t="s">
        <v>126</v>
      </c>
      <c r="AB118" t="s">
        <v>38</v>
      </c>
      <c r="AC118" t="s">
        <v>54</v>
      </c>
      <c r="AD118">
        <v>56724.87</v>
      </c>
      <c r="AE118" t="b">
        <v>0</v>
      </c>
      <c r="AF118">
        <v>2021221.73</v>
      </c>
    </row>
    <row r="119" spans="1:32" x14ac:dyDescent="0.3">
      <c r="A119" t="s">
        <v>350</v>
      </c>
      <c r="B119" t="s">
        <v>351</v>
      </c>
      <c r="C119" t="s">
        <v>98</v>
      </c>
      <c r="D119" t="s">
        <v>31</v>
      </c>
      <c r="E119">
        <v>1242500</v>
      </c>
      <c r="F119">
        <v>48</v>
      </c>
      <c r="G119">
        <v>9.33</v>
      </c>
      <c r="H119">
        <v>467181.73</v>
      </c>
      <c r="I119">
        <v>342</v>
      </c>
      <c r="J119">
        <v>0</v>
      </c>
      <c r="K119">
        <v>0</v>
      </c>
      <c r="L119">
        <v>3</v>
      </c>
      <c r="M119">
        <v>142117484.08000001</v>
      </c>
      <c r="N119" s="1">
        <v>45596</v>
      </c>
      <c r="O119" t="s">
        <v>260</v>
      </c>
      <c r="P119" t="s">
        <v>50</v>
      </c>
      <c r="Q119" s="1">
        <v>44652</v>
      </c>
      <c r="R119" t="s">
        <v>34</v>
      </c>
      <c r="S119" t="s">
        <v>186</v>
      </c>
      <c r="T119">
        <v>2022</v>
      </c>
      <c r="U119">
        <v>695</v>
      </c>
      <c r="V119">
        <v>688</v>
      </c>
      <c r="W119" t="s">
        <v>36</v>
      </c>
      <c r="X119">
        <v>4702000</v>
      </c>
      <c r="Y119">
        <v>7.9399999999999998E-2</v>
      </c>
      <c r="Z119">
        <v>35</v>
      </c>
      <c r="AA119" t="s">
        <v>80</v>
      </c>
      <c r="AB119" t="s">
        <v>38</v>
      </c>
      <c r="AC119" t="s">
        <v>54</v>
      </c>
      <c r="AD119">
        <v>31114.73</v>
      </c>
      <c r="AE119" t="b">
        <v>0</v>
      </c>
      <c r="AF119">
        <v>1067074.8600000001</v>
      </c>
    </row>
    <row r="120" spans="1:32" x14ac:dyDescent="0.3">
      <c r="A120" t="s">
        <v>352</v>
      </c>
      <c r="B120" t="s">
        <v>353</v>
      </c>
      <c r="C120" t="s">
        <v>42</v>
      </c>
      <c r="D120" t="s">
        <v>31</v>
      </c>
      <c r="E120">
        <v>444800</v>
      </c>
      <c r="F120">
        <v>72</v>
      </c>
      <c r="G120">
        <v>11.49</v>
      </c>
      <c r="H120">
        <v>407826.41</v>
      </c>
      <c r="I120">
        <v>11</v>
      </c>
      <c r="J120">
        <v>0</v>
      </c>
      <c r="K120">
        <v>0</v>
      </c>
      <c r="L120">
        <v>1</v>
      </c>
      <c r="M120">
        <v>142117484.08000001</v>
      </c>
      <c r="N120" s="1">
        <v>45596</v>
      </c>
      <c r="O120" t="s">
        <v>139</v>
      </c>
      <c r="P120" t="s">
        <v>50</v>
      </c>
      <c r="Q120" s="1">
        <v>45410</v>
      </c>
      <c r="R120" t="s">
        <v>51</v>
      </c>
      <c r="S120" t="s">
        <v>52</v>
      </c>
      <c r="T120">
        <v>2024</v>
      </c>
      <c r="U120">
        <v>696</v>
      </c>
      <c r="V120">
        <v>708</v>
      </c>
      <c r="W120" t="s">
        <v>70</v>
      </c>
      <c r="X120">
        <v>4299000</v>
      </c>
      <c r="Y120">
        <v>2.3900000000000001E-2</v>
      </c>
      <c r="Z120">
        <v>23</v>
      </c>
      <c r="AA120" t="s">
        <v>71</v>
      </c>
      <c r="AB120" t="s">
        <v>38</v>
      </c>
      <c r="AC120" t="s">
        <v>39</v>
      </c>
      <c r="AD120">
        <v>8578.41</v>
      </c>
      <c r="AE120" t="b">
        <v>0</v>
      </c>
      <c r="AF120">
        <v>500400.3</v>
      </c>
    </row>
    <row r="121" spans="1:32" x14ac:dyDescent="0.3">
      <c r="A121" t="s">
        <v>354</v>
      </c>
      <c r="B121" t="s">
        <v>355</v>
      </c>
      <c r="C121" t="s">
        <v>98</v>
      </c>
      <c r="D121" t="s">
        <v>31</v>
      </c>
      <c r="E121">
        <v>727100</v>
      </c>
      <c r="F121">
        <v>84</v>
      </c>
      <c r="G121">
        <v>13.29</v>
      </c>
      <c r="H121">
        <v>371001.75</v>
      </c>
      <c r="I121">
        <v>0</v>
      </c>
      <c r="J121">
        <v>0</v>
      </c>
      <c r="K121">
        <v>0</v>
      </c>
      <c r="L121">
        <v>1</v>
      </c>
      <c r="M121">
        <v>142117484.08000001</v>
      </c>
      <c r="N121" s="1">
        <v>45596</v>
      </c>
      <c r="O121" t="s">
        <v>32</v>
      </c>
      <c r="P121" t="s">
        <v>74</v>
      </c>
      <c r="Q121" s="1">
        <v>44328</v>
      </c>
      <c r="R121" t="s">
        <v>68</v>
      </c>
      <c r="S121" t="s">
        <v>133</v>
      </c>
      <c r="T121">
        <v>2021</v>
      </c>
      <c r="U121">
        <v>696</v>
      </c>
      <c r="V121">
        <v>687</v>
      </c>
      <c r="W121" t="s">
        <v>70</v>
      </c>
      <c r="X121">
        <v>441000</v>
      </c>
      <c r="Y121">
        <v>0.36309999999999998</v>
      </c>
      <c r="Z121">
        <v>47</v>
      </c>
      <c r="AA121" t="s">
        <v>80</v>
      </c>
      <c r="AB121" t="s">
        <v>38</v>
      </c>
      <c r="AC121" t="s">
        <v>39</v>
      </c>
      <c r="AD121">
        <v>13342.28</v>
      </c>
      <c r="AE121" t="b">
        <v>0</v>
      </c>
      <c r="AF121">
        <v>475322.87</v>
      </c>
    </row>
    <row r="122" spans="1:32" x14ac:dyDescent="0.3">
      <c r="A122" t="s">
        <v>356</v>
      </c>
      <c r="B122" t="s">
        <v>357</v>
      </c>
      <c r="C122" t="s">
        <v>103</v>
      </c>
      <c r="D122" t="s">
        <v>31</v>
      </c>
      <c r="E122">
        <v>748400</v>
      </c>
      <c r="F122">
        <v>72</v>
      </c>
      <c r="G122">
        <v>10.18</v>
      </c>
      <c r="H122">
        <v>539782.32999999996</v>
      </c>
      <c r="I122">
        <v>0</v>
      </c>
      <c r="J122">
        <v>0</v>
      </c>
      <c r="K122">
        <v>0</v>
      </c>
      <c r="L122">
        <v>1</v>
      </c>
      <c r="M122">
        <v>142117484.08000001</v>
      </c>
      <c r="N122" s="1">
        <v>45596</v>
      </c>
      <c r="O122" t="s">
        <v>32</v>
      </c>
      <c r="P122" t="s">
        <v>50</v>
      </c>
      <c r="Q122" s="1">
        <v>44973</v>
      </c>
      <c r="R122" t="s">
        <v>89</v>
      </c>
      <c r="S122" t="s">
        <v>358</v>
      </c>
      <c r="T122">
        <v>2023</v>
      </c>
      <c r="U122">
        <v>696</v>
      </c>
      <c r="V122">
        <v>702</v>
      </c>
      <c r="W122" t="s">
        <v>70</v>
      </c>
      <c r="X122">
        <v>550000</v>
      </c>
      <c r="Y122">
        <v>0.30399999999999999</v>
      </c>
      <c r="Z122">
        <v>29</v>
      </c>
      <c r="AA122" t="s">
        <v>76</v>
      </c>
      <c r="AB122" t="s">
        <v>38</v>
      </c>
      <c r="AC122" t="s">
        <v>39</v>
      </c>
      <c r="AD122">
        <v>13932.77</v>
      </c>
      <c r="AE122" t="b">
        <v>0</v>
      </c>
      <c r="AF122">
        <v>982616.2</v>
      </c>
    </row>
    <row r="123" spans="1:32" x14ac:dyDescent="0.3">
      <c r="A123" t="s">
        <v>359</v>
      </c>
      <c r="B123" t="s">
        <v>360</v>
      </c>
      <c r="C123" t="s">
        <v>98</v>
      </c>
      <c r="D123" t="s">
        <v>84</v>
      </c>
      <c r="E123">
        <v>751100</v>
      </c>
      <c r="F123">
        <v>72</v>
      </c>
      <c r="G123">
        <v>7.67</v>
      </c>
      <c r="H123">
        <v>702435.78</v>
      </c>
      <c r="I123">
        <v>22</v>
      </c>
      <c r="J123">
        <v>0</v>
      </c>
      <c r="K123">
        <v>0</v>
      </c>
      <c r="L123">
        <v>1</v>
      </c>
      <c r="M123">
        <v>142117484.08000001</v>
      </c>
      <c r="N123" s="1">
        <v>45596</v>
      </c>
      <c r="O123" t="s">
        <v>139</v>
      </c>
      <c r="P123" t="s">
        <v>44</v>
      </c>
      <c r="Q123" s="1">
        <v>45474</v>
      </c>
      <c r="R123" t="s">
        <v>34</v>
      </c>
      <c r="S123" t="s">
        <v>361</v>
      </c>
      <c r="T123">
        <v>2022</v>
      </c>
      <c r="U123">
        <v>697</v>
      </c>
      <c r="V123">
        <v>677</v>
      </c>
      <c r="W123" t="s">
        <v>57</v>
      </c>
      <c r="X123">
        <v>1658000</v>
      </c>
      <c r="Y123">
        <v>9.4399999999999998E-2</v>
      </c>
      <c r="Z123">
        <v>25</v>
      </c>
      <c r="AA123" t="s">
        <v>108</v>
      </c>
      <c r="AB123" t="s">
        <v>38</v>
      </c>
      <c r="AC123" t="s">
        <v>39</v>
      </c>
      <c r="AD123">
        <v>13048.52</v>
      </c>
      <c r="AE123" t="b">
        <v>0</v>
      </c>
      <c r="AF123">
        <v>1089953.1299999999</v>
      </c>
    </row>
    <row r="124" spans="1:32" x14ac:dyDescent="0.3">
      <c r="A124" t="s">
        <v>362</v>
      </c>
      <c r="B124" t="s">
        <v>363</v>
      </c>
      <c r="C124" t="s">
        <v>67</v>
      </c>
      <c r="D124" t="s">
        <v>43</v>
      </c>
      <c r="E124">
        <v>2244900</v>
      </c>
      <c r="F124">
        <v>48</v>
      </c>
      <c r="G124">
        <v>10.3</v>
      </c>
      <c r="H124">
        <v>1434451.15</v>
      </c>
      <c r="I124">
        <v>0</v>
      </c>
      <c r="J124">
        <v>0</v>
      </c>
      <c r="K124">
        <v>0</v>
      </c>
      <c r="L124">
        <v>1</v>
      </c>
      <c r="M124">
        <v>142117484.08000001</v>
      </c>
      <c r="N124" s="1">
        <v>45596</v>
      </c>
      <c r="O124" t="s">
        <v>32</v>
      </c>
      <c r="P124" t="s">
        <v>74</v>
      </c>
      <c r="Q124" s="1">
        <v>45148</v>
      </c>
      <c r="R124" t="s">
        <v>68</v>
      </c>
      <c r="S124" t="s">
        <v>133</v>
      </c>
      <c r="T124">
        <v>2019</v>
      </c>
      <c r="U124">
        <v>697</v>
      </c>
      <c r="V124">
        <v>674</v>
      </c>
      <c r="W124" t="s">
        <v>63</v>
      </c>
      <c r="X124">
        <v>3087000</v>
      </c>
      <c r="Y124">
        <v>0.22259999999999999</v>
      </c>
      <c r="Z124">
        <v>34</v>
      </c>
      <c r="AA124" t="s">
        <v>140</v>
      </c>
      <c r="AB124" t="s">
        <v>38</v>
      </c>
      <c r="AC124" t="s">
        <v>54</v>
      </c>
      <c r="AD124">
        <v>57260.44</v>
      </c>
      <c r="AE124" t="b">
        <v>0</v>
      </c>
      <c r="AF124">
        <v>2069880.52</v>
      </c>
    </row>
    <row r="125" spans="1:32" x14ac:dyDescent="0.3">
      <c r="A125" t="s">
        <v>364</v>
      </c>
      <c r="B125" t="s">
        <v>365</v>
      </c>
      <c r="C125" t="s">
        <v>98</v>
      </c>
      <c r="D125" t="s">
        <v>31</v>
      </c>
      <c r="E125">
        <v>1058300</v>
      </c>
      <c r="F125">
        <v>84</v>
      </c>
      <c r="G125">
        <v>10.029999999999999</v>
      </c>
      <c r="H125">
        <v>630614.81000000006</v>
      </c>
      <c r="I125">
        <v>7</v>
      </c>
      <c r="J125">
        <v>0</v>
      </c>
      <c r="K125">
        <v>0</v>
      </c>
      <c r="L125">
        <v>1</v>
      </c>
      <c r="M125">
        <v>142117484.08000001</v>
      </c>
      <c r="N125" s="1">
        <v>45596</v>
      </c>
      <c r="O125" t="s">
        <v>139</v>
      </c>
      <c r="P125" t="s">
        <v>44</v>
      </c>
      <c r="Q125" s="1">
        <v>44548</v>
      </c>
      <c r="R125" t="s">
        <v>68</v>
      </c>
      <c r="S125" t="s">
        <v>69</v>
      </c>
      <c r="T125">
        <v>2021</v>
      </c>
      <c r="U125">
        <v>698</v>
      </c>
      <c r="V125">
        <v>662</v>
      </c>
      <c r="W125" t="s">
        <v>36</v>
      </c>
      <c r="X125">
        <v>1195000</v>
      </c>
      <c r="Y125">
        <v>0.17660000000000001</v>
      </c>
      <c r="Z125">
        <v>49</v>
      </c>
      <c r="AA125" t="s">
        <v>64</v>
      </c>
      <c r="AB125" t="s">
        <v>38</v>
      </c>
      <c r="AC125" t="s">
        <v>81</v>
      </c>
      <c r="AD125">
        <v>17585.439999999999</v>
      </c>
      <c r="AE125" t="b">
        <v>0</v>
      </c>
      <c r="AF125">
        <v>802150.77</v>
      </c>
    </row>
    <row r="126" spans="1:32" x14ac:dyDescent="0.3">
      <c r="A126" t="s">
        <v>366</v>
      </c>
      <c r="B126" t="s">
        <v>367</v>
      </c>
      <c r="C126" t="s">
        <v>98</v>
      </c>
      <c r="D126" t="s">
        <v>31</v>
      </c>
      <c r="E126">
        <v>1399900</v>
      </c>
      <c r="F126">
        <v>60</v>
      </c>
      <c r="G126">
        <v>12.47</v>
      </c>
      <c r="H126">
        <v>1081660.94</v>
      </c>
      <c r="I126">
        <v>406</v>
      </c>
      <c r="J126">
        <v>182879.1</v>
      </c>
      <c r="K126">
        <v>0</v>
      </c>
      <c r="L126">
        <v>3</v>
      </c>
      <c r="M126">
        <v>142117484.08000001</v>
      </c>
      <c r="N126" s="1">
        <v>45596</v>
      </c>
      <c r="O126" t="s">
        <v>368</v>
      </c>
      <c r="P126" t="s">
        <v>33</v>
      </c>
      <c r="Q126" s="1">
        <v>45150</v>
      </c>
      <c r="R126" t="s">
        <v>85</v>
      </c>
      <c r="S126" t="s">
        <v>86</v>
      </c>
      <c r="T126">
        <v>2023</v>
      </c>
      <c r="U126">
        <v>698</v>
      </c>
      <c r="V126">
        <v>678</v>
      </c>
      <c r="W126" t="s">
        <v>57</v>
      </c>
      <c r="X126">
        <v>2904000</v>
      </c>
      <c r="Y126">
        <v>0.13009999999999999</v>
      </c>
      <c r="Z126">
        <v>40</v>
      </c>
      <c r="AA126" t="s">
        <v>162</v>
      </c>
      <c r="AB126" t="s">
        <v>38</v>
      </c>
      <c r="AC126" t="s">
        <v>81</v>
      </c>
      <c r="AD126">
        <v>31473.51</v>
      </c>
      <c r="AE126" t="b">
        <v>0</v>
      </c>
      <c r="AF126">
        <v>1377477.8</v>
      </c>
    </row>
    <row r="127" spans="1:32" x14ac:dyDescent="0.3">
      <c r="A127" t="s">
        <v>369</v>
      </c>
      <c r="B127" t="s">
        <v>370</v>
      </c>
      <c r="C127" t="s">
        <v>30</v>
      </c>
      <c r="D127" t="s">
        <v>31</v>
      </c>
      <c r="E127">
        <v>582100</v>
      </c>
      <c r="F127">
        <v>36</v>
      </c>
      <c r="G127">
        <v>10.65</v>
      </c>
      <c r="H127">
        <v>330553.75</v>
      </c>
      <c r="I127">
        <v>0</v>
      </c>
      <c r="J127">
        <v>0</v>
      </c>
      <c r="K127">
        <v>0</v>
      </c>
      <c r="L127">
        <v>1</v>
      </c>
      <c r="M127">
        <v>142117484.08000001</v>
      </c>
      <c r="N127" s="1">
        <v>45596</v>
      </c>
      <c r="O127" t="s">
        <v>32</v>
      </c>
      <c r="P127" t="s">
        <v>74</v>
      </c>
      <c r="Q127" s="1">
        <v>45079</v>
      </c>
      <c r="R127" t="s">
        <v>89</v>
      </c>
      <c r="S127" t="s">
        <v>112</v>
      </c>
      <c r="T127">
        <v>2023</v>
      </c>
      <c r="U127">
        <v>699</v>
      </c>
      <c r="V127">
        <v>682</v>
      </c>
      <c r="W127" t="s">
        <v>57</v>
      </c>
      <c r="X127">
        <v>2504000</v>
      </c>
      <c r="Y127">
        <v>9.0899999999999995E-2</v>
      </c>
      <c r="Z127">
        <v>35</v>
      </c>
      <c r="AA127" t="s">
        <v>37</v>
      </c>
      <c r="AB127" t="s">
        <v>38</v>
      </c>
      <c r="AC127" t="s">
        <v>39</v>
      </c>
      <c r="AD127">
        <v>18960.87</v>
      </c>
      <c r="AE127" t="b">
        <v>0</v>
      </c>
      <c r="AF127">
        <v>744301.72</v>
      </c>
    </row>
    <row r="128" spans="1:32" x14ac:dyDescent="0.3">
      <c r="A128" t="s">
        <v>371</v>
      </c>
      <c r="B128" t="s">
        <v>372</v>
      </c>
      <c r="C128" t="s">
        <v>30</v>
      </c>
      <c r="D128" t="s">
        <v>31</v>
      </c>
      <c r="E128">
        <v>1175200</v>
      </c>
      <c r="F128">
        <v>72</v>
      </c>
      <c r="G128">
        <v>13.34</v>
      </c>
      <c r="H128">
        <v>434489.5</v>
      </c>
      <c r="I128">
        <v>28</v>
      </c>
      <c r="J128">
        <v>0</v>
      </c>
      <c r="K128">
        <v>0</v>
      </c>
      <c r="L128">
        <v>1</v>
      </c>
      <c r="M128">
        <v>142117484.08000001</v>
      </c>
      <c r="N128" s="1">
        <v>45596</v>
      </c>
      <c r="O128" t="s">
        <v>139</v>
      </c>
      <c r="P128" t="s">
        <v>33</v>
      </c>
      <c r="Q128" s="1">
        <v>44256</v>
      </c>
      <c r="R128" t="s">
        <v>45</v>
      </c>
      <c r="S128" t="s">
        <v>46</v>
      </c>
      <c r="T128">
        <v>2021</v>
      </c>
      <c r="U128">
        <v>699</v>
      </c>
      <c r="V128">
        <v>727</v>
      </c>
      <c r="W128" t="s">
        <v>36</v>
      </c>
      <c r="X128">
        <v>2994000</v>
      </c>
      <c r="Y128">
        <v>9.5399999999999999E-2</v>
      </c>
      <c r="Z128">
        <v>28</v>
      </c>
      <c r="AA128" t="s">
        <v>47</v>
      </c>
      <c r="AB128" t="s">
        <v>38</v>
      </c>
      <c r="AC128" t="s">
        <v>54</v>
      </c>
      <c r="AD128">
        <v>23802.5</v>
      </c>
      <c r="AE128" t="b">
        <v>0</v>
      </c>
      <c r="AF128">
        <v>807141.54</v>
      </c>
    </row>
    <row r="129" spans="1:32" x14ac:dyDescent="0.3">
      <c r="A129" t="s">
        <v>373</v>
      </c>
      <c r="B129" t="s">
        <v>374</v>
      </c>
      <c r="C129" t="s">
        <v>98</v>
      </c>
      <c r="D129" t="s">
        <v>31</v>
      </c>
      <c r="E129">
        <v>899500</v>
      </c>
      <c r="F129">
        <v>72</v>
      </c>
      <c r="G129">
        <v>8.2200000000000006</v>
      </c>
      <c r="H129">
        <v>472242.1</v>
      </c>
      <c r="I129">
        <v>0</v>
      </c>
      <c r="J129">
        <v>0</v>
      </c>
      <c r="K129">
        <v>0</v>
      </c>
      <c r="L129">
        <v>1</v>
      </c>
      <c r="M129">
        <v>142117484.08000001</v>
      </c>
      <c r="N129" s="1">
        <v>45596</v>
      </c>
      <c r="O129" t="s">
        <v>32</v>
      </c>
      <c r="P129" t="s">
        <v>74</v>
      </c>
      <c r="Q129" s="1">
        <v>44593</v>
      </c>
      <c r="R129" t="s">
        <v>99</v>
      </c>
      <c r="S129" t="s">
        <v>157</v>
      </c>
      <c r="T129">
        <v>2022</v>
      </c>
      <c r="U129">
        <v>699</v>
      </c>
      <c r="V129">
        <v>699</v>
      </c>
      <c r="W129" t="s">
        <v>63</v>
      </c>
      <c r="X129">
        <v>1822000</v>
      </c>
      <c r="Y129">
        <v>0.1045</v>
      </c>
      <c r="Z129">
        <v>37</v>
      </c>
      <c r="AA129" t="s">
        <v>58</v>
      </c>
      <c r="AB129" t="s">
        <v>38</v>
      </c>
      <c r="AC129" t="s">
        <v>54</v>
      </c>
      <c r="AD129">
        <v>15867.95</v>
      </c>
      <c r="AE129" t="b">
        <v>0</v>
      </c>
      <c r="AF129">
        <v>680197.5</v>
      </c>
    </row>
    <row r="130" spans="1:32" x14ac:dyDescent="0.3">
      <c r="A130" t="s">
        <v>375</v>
      </c>
      <c r="B130" t="s">
        <v>376</v>
      </c>
      <c r="C130" t="s">
        <v>42</v>
      </c>
      <c r="D130" t="s">
        <v>31</v>
      </c>
      <c r="E130">
        <v>560900</v>
      </c>
      <c r="F130">
        <v>48</v>
      </c>
      <c r="G130">
        <v>7.61</v>
      </c>
      <c r="H130">
        <v>275681.43</v>
      </c>
      <c r="I130">
        <v>0</v>
      </c>
      <c r="J130">
        <v>0</v>
      </c>
      <c r="K130">
        <v>0</v>
      </c>
      <c r="L130">
        <v>1</v>
      </c>
      <c r="M130">
        <v>142117484.08000001</v>
      </c>
      <c r="N130" s="1">
        <v>45596</v>
      </c>
      <c r="O130" t="s">
        <v>32</v>
      </c>
      <c r="P130" t="s">
        <v>33</v>
      </c>
      <c r="Q130" s="1">
        <v>44852</v>
      </c>
      <c r="R130" t="s">
        <v>34</v>
      </c>
      <c r="S130" t="s">
        <v>35</v>
      </c>
      <c r="T130">
        <v>2022</v>
      </c>
      <c r="U130">
        <v>700</v>
      </c>
      <c r="V130">
        <v>692</v>
      </c>
      <c r="W130" t="s">
        <v>70</v>
      </c>
      <c r="X130">
        <v>1687000</v>
      </c>
      <c r="Y130">
        <v>9.6699999999999994E-2</v>
      </c>
      <c r="Z130">
        <v>61</v>
      </c>
      <c r="AA130" t="s">
        <v>113</v>
      </c>
      <c r="AB130" t="s">
        <v>38</v>
      </c>
      <c r="AC130" t="s">
        <v>81</v>
      </c>
      <c r="AD130">
        <v>13590.76</v>
      </c>
      <c r="AE130" t="b">
        <v>0</v>
      </c>
      <c r="AF130">
        <v>647348.68000000005</v>
      </c>
    </row>
    <row r="131" spans="1:32" x14ac:dyDescent="0.3">
      <c r="A131" t="s">
        <v>377</v>
      </c>
      <c r="B131" t="s">
        <v>378</v>
      </c>
      <c r="C131" t="s">
        <v>103</v>
      </c>
      <c r="D131" t="s">
        <v>31</v>
      </c>
      <c r="E131">
        <v>2181600</v>
      </c>
      <c r="F131">
        <v>36</v>
      </c>
      <c r="G131">
        <v>12.71</v>
      </c>
      <c r="H131">
        <v>297678.40999999997</v>
      </c>
      <c r="I131">
        <v>123</v>
      </c>
      <c r="J131">
        <v>0</v>
      </c>
      <c r="K131">
        <v>0</v>
      </c>
      <c r="L131">
        <v>3</v>
      </c>
      <c r="M131">
        <v>142117484.08000001</v>
      </c>
      <c r="N131" s="1">
        <v>45596</v>
      </c>
      <c r="O131" t="s">
        <v>260</v>
      </c>
      <c r="P131" t="s">
        <v>33</v>
      </c>
      <c r="Q131" s="1">
        <v>44623</v>
      </c>
      <c r="R131" t="s">
        <v>68</v>
      </c>
      <c r="S131" t="s">
        <v>69</v>
      </c>
      <c r="T131">
        <v>2022</v>
      </c>
      <c r="U131">
        <v>700</v>
      </c>
      <c r="V131">
        <v>696</v>
      </c>
      <c r="W131" t="s">
        <v>70</v>
      </c>
      <c r="X131">
        <v>3301000</v>
      </c>
      <c r="Y131">
        <v>0.2661</v>
      </c>
      <c r="Z131">
        <v>40</v>
      </c>
      <c r="AA131" t="s">
        <v>64</v>
      </c>
      <c r="AB131" t="s">
        <v>38</v>
      </c>
      <c r="AC131" t="s">
        <v>54</v>
      </c>
      <c r="AD131">
        <v>73202.37</v>
      </c>
      <c r="AE131" t="b">
        <v>1</v>
      </c>
      <c r="AF131">
        <v>1905971.41</v>
      </c>
    </row>
    <row r="132" spans="1:32" x14ac:dyDescent="0.3">
      <c r="A132" t="s">
        <v>379</v>
      </c>
      <c r="B132" t="s">
        <v>380</v>
      </c>
      <c r="C132" t="s">
        <v>30</v>
      </c>
      <c r="D132" t="s">
        <v>31</v>
      </c>
      <c r="E132">
        <v>1687500</v>
      </c>
      <c r="F132">
        <v>36</v>
      </c>
      <c r="G132">
        <v>12.8</v>
      </c>
      <c r="H132">
        <v>1592366.96</v>
      </c>
      <c r="I132">
        <v>0</v>
      </c>
      <c r="J132">
        <v>0</v>
      </c>
      <c r="K132">
        <v>0</v>
      </c>
      <c r="L132">
        <v>1</v>
      </c>
      <c r="M132">
        <v>142117484.08000001</v>
      </c>
      <c r="N132" s="1">
        <v>45596</v>
      </c>
      <c r="O132" t="s">
        <v>32</v>
      </c>
      <c r="P132" t="s">
        <v>33</v>
      </c>
      <c r="Q132" s="1">
        <v>45517</v>
      </c>
      <c r="R132" t="s">
        <v>171</v>
      </c>
      <c r="S132" t="s">
        <v>381</v>
      </c>
      <c r="T132">
        <v>2024</v>
      </c>
      <c r="U132">
        <v>700</v>
      </c>
      <c r="V132">
        <v>676</v>
      </c>
      <c r="W132" t="s">
        <v>36</v>
      </c>
      <c r="X132">
        <v>3143000</v>
      </c>
      <c r="Y132">
        <v>0.2165</v>
      </c>
      <c r="Z132">
        <v>56</v>
      </c>
      <c r="AA132" t="s">
        <v>233</v>
      </c>
      <c r="AB132" t="s">
        <v>38</v>
      </c>
      <c r="AC132" t="s">
        <v>54</v>
      </c>
      <c r="AD132">
        <v>56696.12</v>
      </c>
      <c r="AE132" t="b">
        <v>0</v>
      </c>
      <c r="AF132">
        <v>1913121.54</v>
      </c>
    </row>
    <row r="133" spans="1:32" x14ac:dyDescent="0.3">
      <c r="A133" t="s">
        <v>382</v>
      </c>
      <c r="B133" t="s">
        <v>383</v>
      </c>
      <c r="C133" t="s">
        <v>103</v>
      </c>
      <c r="D133" t="s">
        <v>31</v>
      </c>
      <c r="E133">
        <v>2055900</v>
      </c>
      <c r="F133">
        <v>60</v>
      </c>
      <c r="G133">
        <v>11.6</v>
      </c>
      <c r="H133">
        <v>511059.25</v>
      </c>
      <c r="I133">
        <v>12</v>
      </c>
      <c r="J133">
        <v>0</v>
      </c>
      <c r="K133">
        <v>0</v>
      </c>
      <c r="L133">
        <v>1</v>
      </c>
      <c r="M133">
        <v>142117484.08000001</v>
      </c>
      <c r="N133" s="1">
        <v>45596</v>
      </c>
      <c r="O133" t="s">
        <v>139</v>
      </c>
      <c r="P133" t="s">
        <v>50</v>
      </c>
      <c r="Q133" s="1">
        <v>44199</v>
      </c>
      <c r="R133" t="s">
        <v>68</v>
      </c>
      <c r="S133" t="s">
        <v>133</v>
      </c>
      <c r="T133">
        <v>2021</v>
      </c>
      <c r="U133">
        <v>700</v>
      </c>
      <c r="V133">
        <v>681</v>
      </c>
      <c r="W133" t="s">
        <v>36</v>
      </c>
      <c r="X133">
        <v>2676000</v>
      </c>
      <c r="Y133">
        <v>0.20319999999999999</v>
      </c>
      <c r="Z133">
        <v>63</v>
      </c>
      <c r="AA133" t="s">
        <v>104</v>
      </c>
      <c r="AB133" t="s">
        <v>38</v>
      </c>
      <c r="AC133" t="s">
        <v>54</v>
      </c>
      <c r="AD133">
        <v>45317.88</v>
      </c>
      <c r="AE133" t="b">
        <v>0</v>
      </c>
      <c r="AF133">
        <v>1271997.25</v>
      </c>
    </row>
    <row r="134" spans="1:32" x14ac:dyDescent="0.3">
      <c r="A134" t="s">
        <v>384</v>
      </c>
      <c r="B134" t="s">
        <v>385</v>
      </c>
      <c r="C134" t="s">
        <v>98</v>
      </c>
      <c r="D134" t="s">
        <v>31</v>
      </c>
      <c r="E134">
        <v>1268600</v>
      </c>
      <c r="F134">
        <v>36</v>
      </c>
      <c r="G134">
        <v>9.6199999999999992</v>
      </c>
      <c r="H134">
        <v>34241.46</v>
      </c>
      <c r="I134">
        <v>185</v>
      </c>
      <c r="J134">
        <v>0</v>
      </c>
      <c r="K134">
        <v>0</v>
      </c>
      <c r="L134">
        <v>3</v>
      </c>
      <c r="M134">
        <v>142117484.08000001</v>
      </c>
      <c r="N134" s="1">
        <v>45596</v>
      </c>
      <c r="O134" t="s">
        <v>129</v>
      </c>
      <c r="P134" t="s">
        <v>44</v>
      </c>
      <c r="Q134" s="1">
        <v>44502</v>
      </c>
      <c r="R134" t="s">
        <v>45</v>
      </c>
      <c r="S134" t="s">
        <v>46</v>
      </c>
      <c r="T134">
        <v>2021</v>
      </c>
      <c r="U134">
        <v>700</v>
      </c>
      <c r="V134">
        <v>650</v>
      </c>
      <c r="W134" t="s">
        <v>63</v>
      </c>
      <c r="X134">
        <v>566000</v>
      </c>
      <c r="Y134">
        <v>0.86309999999999998</v>
      </c>
      <c r="Z134">
        <v>56</v>
      </c>
      <c r="AA134" t="s">
        <v>108</v>
      </c>
      <c r="AB134" t="s">
        <v>38</v>
      </c>
      <c r="AC134" t="s">
        <v>54</v>
      </c>
      <c r="AD134">
        <v>40708.199999999997</v>
      </c>
      <c r="AE134" t="b">
        <v>0</v>
      </c>
      <c r="AF134">
        <v>804986.56</v>
      </c>
    </row>
    <row r="135" spans="1:32" x14ac:dyDescent="0.3">
      <c r="A135" t="s">
        <v>386</v>
      </c>
      <c r="B135" t="s">
        <v>387</v>
      </c>
      <c r="C135" t="s">
        <v>42</v>
      </c>
      <c r="D135" t="s">
        <v>84</v>
      </c>
      <c r="E135">
        <v>163800</v>
      </c>
      <c r="F135">
        <v>72</v>
      </c>
      <c r="G135">
        <v>8.4499999999999993</v>
      </c>
      <c r="H135">
        <v>145023.37</v>
      </c>
      <c r="I135">
        <v>0</v>
      </c>
      <c r="J135">
        <v>0</v>
      </c>
      <c r="K135">
        <v>0</v>
      </c>
      <c r="L135">
        <v>1</v>
      </c>
      <c r="M135">
        <v>142117484.08000001</v>
      </c>
      <c r="N135" s="1">
        <v>45596</v>
      </c>
      <c r="O135" t="s">
        <v>32</v>
      </c>
      <c r="P135" t="s">
        <v>74</v>
      </c>
      <c r="Q135" s="1">
        <v>45437</v>
      </c>
      <c r="R135" t="s">
        <v>99</v>
      </c>
      <c r="S135" t="s">
        <v>100</v>
      </c>
      <c r="T135">
        <v>2020</v>
      </c>
      <c r="U135">
        <v>700</v>
      </c>
      <c r="V135">
        <v>729</v>
      </c>
      <c r="W135" t="s">
        <v>70</v>
      </c>
      <c r="X135">
        <v>4682000</v>
      </c>
      <c r="Y135">
        <v>7.4999999999999997E-3</v>
      </c>
      <c r="Z135">
        <v>55</v>
      </c>
      <c r="AA135" t="s">
        <v>91</v>
      </c>
      <c r="AB135" t="s">
        <v>38</v>
      </c>
      <c r="AC135" t="s">
        <v>81</v>
      </c>
      <c r="AD135">
        <v>2908.07</v>
      </c>
      <c r="AE135" t="b">
        <v>0</v>
      </c>
      <c r="AF135">
        <v>248475.02</v>
      </c>
    </row>
    <row r="136" spans="1:32" x14ac:dyDescent="0.3">
      <c r="A136" t="s">
        <v>388</v>
      </c>
      <c r="B136" t="s">
        <v>389</v>
      </c>
      <c r="C136" t="s">
        <v>30</v>
      </c>
      <c r="D136" t="s">
        <v>31</v>
      </c>
      <c r="E136">
        <v>1480300</v>
      </c>
      <c r="F136">
        <v>72</v>
      </c>
      <c r="G136">
        <v>11.92</v>
      </c>
      <c r="H136">
        <v>1050318.75</v>
      </c>
      <c r="I136">
        <v>0</v>
      </c>
      <c r="J136">
        <v>0</v>
      </c>
      <c r="K136">
        <v>0</v>
      </c>
      <c r="L136">
        <v>1</v>
      </c>
      <c r="M136">
        <v>142117484.08000001</v>
      </c>
      <c r="N136" s="1">
        <v>45596</v>
      </c>
      <c r="O136" t="s">
        <v>32</v>
      </c>
      <c r="P136" t="s">
        <v>74</v>
      </c>
      <c r="Q136" s="1">
        <v>44918</v>
      </c>
      <c r="R136" t="s">
        <v>94</v>
      </c>
      <c r="S136" t="s">
        <v>117</v>
      </c>
      <c r="T136">
        <v>2022</v>
      </c>
      <c r="U136">
        <v>701</v>
      </c>
      <c r="V136">
        <v>656</v>
      </c>
      <c r="W136" t="s">
        <v>57</v>
      </c>
      <c r="X136">
        <v>514000</v>
      </c>
      <c r="Y136">
        <v>0.67420000000000002</v>
      </c>
      <c r="Z136">
        <v>52</v>
      </c>
      <c r="AA136" t="s">
        <v>233</v>
      </c>
      <c r="AB136" t="s">
        <v>38</v>
      </c>
      <c r="AC136" t="s">
        <v>39</v>
      </c>
      <c r="AD136">
        <v>28878.6</v>
      </c>
      <c r="AE136" t="b">
        <v>0</v>
      </c>
      <c r="AF136">
        <v>1296582.69</v>
      </c>
    </row>
    <row r="137" spans="1:32" x14ac:dyDescent="0.3">
      <c r="A137" t="s">
        <v>390</v>
      </c>
      <c r="B137" t="s">
        <v>391</v>
      </c>
      <c r="C137" t="s">
        <v>30</v>
      </c>
      <c r="D137" t="s">
        <v>31</v>
      </c>
      <c r="E137">
        <v>1311700</v>
      </c>
      <c r="F137">
        <v>72</v>
      </c>
      <c r="G137">
        <v>11.58</v>
      </c>
      <c r="H137">
        <v>801217.09</v>
      </c>
      <c r="I137">
        <v>0</v>
      </c>
      <c r="J137">
        <v>0</v>
      </c>
      <c r="K137">
        <v>0</v>
      </c>
      <c r="L137">
        <v>1</v>
      </c>
      <c r="M137">
        <v>142117484.08000001</v>
      </c>
      <c r="N137" s="1">
        <v>45596</v>
      </c>
      <c r="O137" t="s">
        <v>32</v>
      </c>
      <c r="P137" t="s">
        <v>44</v>
      </c>
      <c r="Q137" s="1">
        <v>44726</v>
      </c>
      <c r="R137" t="s">
        <v>94</v>
      </c>
      <c r="S137" t="s">
        <v>117</v>
      </c>
      <c r="T137">
        <v>2022</v>
      </c>
      <c r="U137">
        <v>701</v>
      </c>
      <c r="V137">
        <v>730</v>
      </c>
      <c r="W137" t="s">
        <v>63</v>
      </c>
      <c r="X137">
        <v>583000</v>
      </c>
      <c r="Y137">
        <v>0.52200000000000002</v>
      </c>
      <c r="Z137">
        <v>40</v>
      </c>
      <c r="AA137" t="s">
        <v>104</v>
      </c>
      <c r="AB137" t="s">
        <v>38</v>
      </c>
      <c r="AC137" t="s">
        <v>81</v>
      </c>
      <c r="AD137">
        <v>25358.400000000001</v>
      </c>
      <c r="AE137" t="b">
        <v>1</v>
      </c>
      <c r="AF137">
        <v>981568.72</v>
      </c>
    </row>
    <row r="138" spans="1:32" x14ac:dyDescent="0.3">
      <c r="A138" t="s">
        <v>392</v>
      </c>
      <c r="B138" t="s">
        <v>393</v>
      </c>
      <c r="C138" t="s">
        <v>30</v>
      </c>
      <c r="D138" t="s">
        <v>31</v>
      </c>
      <c r="E138">
        <v>1325100</v>
      </c>
      <c r="F138">
        <v>72</v>
      </c>
      <c r="G138">
        <v>9.49</v>
      </c>
      <c r="H138">
        <v>1023915.53</v>
      </c>
      <c r="I138">
        <v>0</v>
      </c>
      <c r="J138">
        <v>0</v>
      </c>
      <c r="K138">
        <v>0</v>
      </c>
      <c r="L138">
        <v>1</v>
      </c>
      <c r="M138">
        <v>142117484.08000001</v>
      </c>
      <c r="N138" s="1">
        <v>45596</v>
      </c>
      <c r="O138" t="s">
        <v>32</v>
      </c>
      <c r="P138" t="s">
        <v>44</v>
      </c>
      <c r="Q138" s="1">
        <v>45197</v>
      </c>
      <c r="R138" t="s">
        <v>99</v>
      </c>
      <c r="S138" t="s">
        <v>157</v>
      </c>
      <c r="T138">
        <v>2023</v>
      </c>
      <c r="U138">
        <v>701</v>
      </c>
      <c r="V138">
        <v>662</v>
      </c>
      <c r="W138" t="s">
        <v>36</v>
      </c>
      <c r="X138">
        <v>1125000</v>
      </c>
      <c r="Y138">
        <v>0.25819999999999999</v>
      </c>
      <c r="Z138">
        <v>59</v>
      </c>
      <c r="AA138" t="s">
        <v>108</v>
      </c>
      <c r="AB138" t="s">
        <v>38</v>
      </c>
      <c r="AC138" t="s">
        <v>81</v>
      </c>
      <c r="AD138">
        <v>24209.16</v>
      </c>
      <c r="AE138" t="b">
        <v>0</v>
      </c>
      <c r="AF138">
        <v>1674139.2</v>
      </c>
    </row>
    <row r="139" spans="1:32" x14ac:dyDescent="0.3">
      <c r="A139" t="s">
        <v>394</v>
      </c>
      <c r="B139" t="s">
        <v>395</v>
      </c>
      <c r="C139" t="s">
        <v>42</v>
      </c>
      <c r="D139" t="s">
        <v>31</v>
      </c>
      <c r="E139">
        <v>318300</v>
      </c>
      <c r="F139">
        <v>84</v>
      </c>
      <c r="G139">
        <v>8.92</v>
      </c>
      <c r="H139">
        <v>274938.93</v>
      </c>
      <c r="I139">
        <v>55</v>
      </c>
      <c r="J139">
        <v>0</v>
      </c>
      <c r="K139">
        <v>0</v>
      </c>
      <c r="L139">
        <v>2</v>
      </c>
      <c r="M139">
        <v>142117484.08000001</v>
      </c>
      <c r="N139" s="1">
        <v>45596</v>
      </c>
      <c r="O139" t="s">
        <v>116</v>
      </c>
      <c r="P139" t="s">
        <v>50</v>
      </c>
      <c r="Q139" s="1">
        <v>45278</v>
      </c>
      <c r="R139" t="s">
        <v>61</v>
      </c>
      <c r="S139" t="s">
        <v>210</v>
      </c>
      <c r="T139">
        <v>2023</v>
      </c>
      <c r="U139">
        <v>702</v>
      </c>
      <c r="V139">
        <v>726</v>
      </c>
      <c r="W139" t="s">
        <v>70</v>
      </c>
      <c r="X139">
        <v>846000</v>
      </c>
      <c r="Y139">
        <v>7.2499999999999995E-2</v>
      </c>
      <c r="Z139">
        <v>42</v>
      </c>
      <c r="AA139" t="s">
        <v>162</v>
      </c>
      <c r="AB139" t="s">
        <v>38</v>
      </c>
      <c r="AC139" t="s">
        <v>81</v>
      </c>
      <c r="AD139">
        <v>5108.24</v>
      </c>
      <c r="AE139" t="b">
        <v>0</v>
      </c>
      <c r="AF139">
        <v>388720.24</v>
      </c>
    </row>
    <row r="140" spans="1:32" x14ac:dyDescent="0.3">
      <c r="A140" t="s">
        <v>396</v>
      </c>
      <c r="B140" t="s">
        <v>397</v>
      </c>
      <c r="C140" t="s">
        <v>30</v>
      </c>
      <c r="D140" t="s">
        <v>31</v>
      </c>
      <c r="E140">
        <v>1865600</v>
      </c>
      <c r="F140">
        <v>84</v>
      </c>
      <c r="G140">
        <v>11.91</v>
      </c>
      <c r="H140">
        <v>1715799.71</v>
      </c>
      <c r="I140">
        <v>0</v>
      </c>
      <c r="J140">
        <v>0</v>
      </c>
      <c r="K140">
        <v>0</v>
      </c>
      <c r="L140">
        <v>1</v>
      </c>
      <c r="M140">
        <v>142117484.08000001</v>
      </c>
      <c r="N140" s="1">
        <v>45596</v>
      </c>
      <c r="O140" t="s">
        <v>32</v>
      </c>
      <c r="P140" t="s">
        <v>44</v>
      </c>
      <c r="Q140" s="1">
        <v>45399</v>
      </c>
      <c r="R140" t="s">
        <v>171</v>
      </c>
      <c r="S140" t="s">
        <v>398</v>
      </c>
      <c r="T140">
        <v>2024</v>
      </c>
      <c r="U140">
        <v>702</v>
      </c>
      <c r="V140">
        <v>702</v>
      </c>
      <c r="W140" t="s">
        <v>70</v>
      </c>
      <c r="X140">
        <v>4907000</v>
      </c>
      <c r="Y140">
        <v>8.0299999999999996E-2</v>
      </c>
      <c r="Z140">
        <v>58</v>
      </c>
      <c r="AA140" t="s">
        <v>197</v>
      </c>
      <c r="AB140" t="s">
        <v>38</v>
      </c>
      <c r="AC140" t="s">
        <v>54</v>
      </c>
      <c r="AD140">
        <v>32843.21</v>
      </c>
      <c r="AE140" t="b">
        <v>0</v>
      </c>
      <c r="AF140">
        <v>1750003.04</v>
      </c>
    </row>
    <row r="141" spans="1:32" x14ac:dyDescent="0.3">
      <c r="A141" t="s">
        <v>399</v>
      </c>
      <c r="B141" t="s">
        <v>400</v>
      </c>
      <c r="C141" t="s">
        <v>42</v>
      </c>
      <c r="D141" t="s">
        <v>84</v>
      </c>
      <c r="E141">
        <v>279700</v>
      </c>
      <c r="F141">
        <v>36</v>
      </c>
      <c r="G141">
        <v>8.4</v>
      </c>
      <c r="H141">
        <v>194483.27</v>
      </c>
      <c r="I141">
        <v>0</v>
      </c>
      <c r="J141">
        <v>0</v>
      </c>
      <c r="K141">
        <v>0</v>
      </c>
      <c r="L141">
        <v>1</v>
      </c>
      <c r="M141">
        <v>142117484.08000001</v>
      </c>
      <c r="N141" s="1">
        <v>45596</v>
      </c>
      <c r="O141" t="s">
        <v>32</v>
      </c>
      <c r="P141" t="s">
        <v>33</v>
      </c>
      <c r="Q141" s="1">
        <v>45270</v>
      </c>
      <c r="R141" t="s">
        <v>99</v>
      </c>
      <c r="S141" t="s">
        <v>219</v>
      </c>
      <c r="T141">
        <v>2018</v>
      </c>
      <c r="U141">
        <v>702</v>
      </c>
      <c r="V141">
        <v>668</v>
      </c>
      <c r="W141" t="s">
        <v>70</v>
      </c>
      <c r="X141">
        <v>4789000</v>
      </c>
      <c r="Y141">
        <v>2.2100000000000002E-2</v>
      </c>
      <c r="Z141">
        <v>26</v>
      </c>
      <c r="AA141" t="s">
        <v>71</v>
      </c>
      <c r="AB141" t="s">
        <v>38</v>
      </c>
      <c r="AC141" t="s">
        <v>54</v>
      </c>
      <c r="AD141">
        <v>8816.49</v>
      </c>
      <c r="AE141" t="b">
        <v>0</v>
      </c>
      <c r="AF141">
        <v>328246.5</v>
      </c>
    </row>
    <row r="142" spans="1:32" x14ac:dyDescent="0.3">
      <c r="A142" t="s">
        <v>401</v>
      </c>
      <c r="B142" t="s">
        <v>402</v>
      </c>
      <c r="C142" t="s">
        <v>98</v>
      </c>
      <c r="D142" t="s">
        <v>31</v>
      </c>
      <c r="E142">
        <v>546000</v>
      </c>
      <c r="F142">
        <v>48</v>
      </c>
      <c r="G142">
        <v>10.44</v>
      </c>
      <c r="H142">
        <v>368585.57</v>
      </c>
      <c r="I142">
        <v>0</v>
      </c>
      <c r="J142">
        <v>0</v>
      </c>
      <c r="K142">
        <v>0</v>
      </c>
      <c r="L142">
        <v>1</v>
      </c>
      <c r="M142">
        <v>142117484.08000001</v>
      </c>
      <c r="N142" s="1">
        <v>45596</v>
      </c>
      <c r="O142" t="s">
        <v>32</v>
      </c>
      <c r="P142" t="s">
        <v>33</v>
      </c>
      <c r="Q142" s="1">
        <v>45119</v>
      </c>
      <c r="R142" t="s">
        <v>89</v>
      </c>
      <c r="S142" t="s">
        <v>183</v>
      </c>
      <c r="T142">
        <v>2023</v>
      </c>
      <c r="U142">
        <v>703</v>
      </c>
      <c r="V142">
        <v>677</v>
      </c>
      <c r="W142" t="s">
        <v>70</v>
      </c>
      <c r="X142">
        <v>1316000</v>
      </c>
      <c r="Y142">
        <v>0.1273</v>
      </c>
      <c r="Z142">
        <v>61</v>
      </c>
      <c r="AA142" t="s">
        <v>53</v>
      </c>
      <c r="AB142" t="s">
        <v>38</v>
      </c>
      <c r="AC142" t="s">
        <v>54</v>
      </c>
      <c r="AD142">
        <v>13963.63</v>
      </c>
      <c r="AE142" t="b">
        <v>0</v>
      </c>
      <c r="AF142">
        <v>610571.62</v>
      </c>
    </row>
    <row r="143" spans="1:32" x14ac:dyDescent="0.3">
      <c r="A143" t="s">
        <v>403</v>
      </c>
      <c r="B143" t="s">
        <v>404</v>
      </c>
      <c r="C143" t="s">
        <v>42</v>
      </c>
      <c r="D143" t="s">
        <v>31</v>
      </c>
      <c r="E143">
        <v>487300</v>
      </c>
      <c r="F143">
        <v>84</v>
      </c>
      <c r="G143">
        <v>13.55</v>
      </c>
      <c r="H143">
        <v>248289.8</v>
      </c>
      <c r="I143">
        <v>0</v>
      </c>
      <c r="J143">
        <v>0</v>
      </c>
      <c r="K143">
        <v>0</v>
      </c>
      <c r="L143">
        <v>1</v>
      </c>
      <c r="M143">
        <v>142117484.08000001</v>
      </c>
      <c r="N143" s="1">
        <v>45596</v>
      </c>
      <c r="O143" t="s">
        <v>32</v>
      </c>
      <c r="P143" t="s">
        <v>50</v>
      </c>
      <c r="Q143" s="1">
        <v>44394</v>
      </c>
      <c r="R143" t="s">
        <v>34</v>
      </c>
      <c r="S143" t="s">
        <v>361</v>
      </c>
      <c r="T143">
        <v>2021</v>
      </c>
      <c r="U143">
        <v>703</v>
      </c>
      <c r="V143">
        <v>726</v>
      </c>
      <c r="W143" t="s">
        <v>70</v>
      </c>
      <c r="X143">
        <v>1194000</v>
      </c>
      <c r="Y143">
        <v>9.06E-2</v>
      </c>
      <c r="Z143">
        <v>58</v>
      </c>
      <c r="AA143" t="s">
        <v>148</v>
      </c>
      <c r="AB143" t="s">
        <v>38</v>
      </c>
      <c r="AC143" t="s">
        <v>81</v>
      </c>
      <c r="AD143">
        <v>9011.2999999999993</v>
      </c>
      <c r="AE143" t="b">
        <v>0</v>
      </c>
      <c r="AF143">
        <v>315666.23</v>
      </c>
    </row>
    <row r="144" spans="1:32" x14ac:dyDescent="0.3">
      <c r="A144" t="s">
        <v>405</v>
      </c>
      <c r="B144" t="s">
        <v>406</v>
      </c>
      <c r="C144" t="s">
        <v>42</v>
      </c>
      <c r="D144" t="s">
        <v>31</v>
      </c>
      <c r="E144">
        <v>409400</v>
      </c>
      <c r="F144">
        <v>72</v>
      </c>
      <c r="G144">
        <v>12.44</v>
      </c>
      <c r="H144">
        <v>314376.14</v>
      </c>
      <c r="I144">
        <v>0</v>
      </c>
      <c r="J144">
        <v>0</v>
      </c>
      <c r="K144">
        <v>0</v>
      </c>
      <c r="L144">
        <v>1</v>
      </c>
      <c r="M144">
        <v>142117484.08000001</v>
      </c>
      <c r="N144" s="1">
        <v>45596</v>
      </c>
      <c r="O144" t="s">
        <v>32</v>
      </c>
      <c r="P144" t="s">
        <v>74</v>
      </c>
      <c r="Q144" s="1">
        <v>45163</v>
      </c>
      <c r="R144" t="s">
        <v>61</v>
      </c>
      <c r="S144" t="s">
        <v>75</v>
      </c>
      <c r="T144">
        <v>2023</v>
      </c>
      <c r="U144">
        <v>704</v>
      </c>
      <c r="V144">
        <v>675</v>
      </c>
      <c r="W144" t="s">
        <v>36</v>
      </c>
      <c r="X144">
        <v>4486000</v>
      </c>
      <c r="Y144">
        <v>2.1700000000000001E-2</v>
      </c>
      <c r="Z144">
        <v>56</v>
      </c>
      <c r="AA144" t="s">
        <v>126</v>
      </c>
      <c r="AB144" t="s">
        <v>38</v>
      </c>
      <c r="AC144" t="s">
        <v>81</v>
      </c>
      <c r="AD144">
        <v>8097.83</v>
      </c>
      <c r="AE144" t="b">
        <v>0</v>
      </c>
      <c r="AF144">
        <v>496511.58</v>
      </c>
    </row>
    <row r="145" spans="1:32" x14ac:dyDescent="0.3">
      <c r="A145" t="s">
        <v>407</v>
      </c>
      <c r="B145" t="s">
        <v>408</v>
      </c>
      <c r="C145" t="s">
        <v>98</v>
      </c>
      <c r="D145" t="s">
        <v>31</v>
      </c>
      <c r="E145">
        <v>673800</v>
      </c>
      <c r="F145">
        <v>72</v>
      </c>
      <c r="G145">
        <v>12.67</v>
      </c>
      <c r="H145">
        <v>430428.03</v>
      </c>
      <c r="I145">
        <v>40</v>
      </c>
      <c r="J145">
        <v>0</v>
      </c>
      <c r="K145">
        <v>0</v>
      </c>
      <c r="L145">
        <v>2</v>
      </c>
      <c r="M145">
        <v>142117484.08000001</v>
      </c>
      <c r="N145" s="1">
        <v>45596</v>
      </c>
      <c r="O145" t="s">
        <v>116</v>
      </c>
      <c r="P145" t="s">
        <v>50</v>
      </c>
      <c r="Q145" s="1">
        <v>44817</v>
      </c>
      <c r="R145" t="s">
        <v>85</v>
      </c>
      <c r="S145" t="s">
        <v>86</v>
      </c>
      <c r="T145">
        <v>2022</v>
      </c>
      <c r="U145">
        <v>704</v>
      </c>
      <c r="V145">
        <v>666</v>
      </c>
      <c r="W145" t="s">
        <v>36</v>
      </c>
      <c r="X145">
        <v>797000</v>
      </c>
      <c r="Y145">
        <v>0.2019</v>
      </c>
      <c r="Z145">
        <v>56</v>
      </c>
      <c r="AA145" t="s">
        <v>80</v>
      </c>
      <c r="AB145" t="s">
        <v>38</v>
      </c>
      <c r="AC145" t="s">
        <v>39</v>
      </c>
      <c r="AD145">
        <v>13408.86</v>
      </c>
      <c r="AE145" t="b">
        <v>0</v>
      </c>
      <c r="AF145">
        <v>565255.84</v>
      </c>
    </row>
    <row r="146" spans="1:32" x14ac:dyDescent="0.3">
      <c r="A146" t="s">
        <v>409</v>
      </c>
      <c r="B146" t="s">
        <v>410</v>
      </c>
      <c r="C146" t="s">
        <v>67</v>
      </c>
      <c r="D146" t="s">
        <v>84</v>
      </c>
      <c r="E146">
        <v>828600</v>
      </c>
      <c r="F146">
        <v>36</v>
      </c>
      <c r="G146">
        <v>9.86</v>
      </c>
      <c r="H146">
        <v>617506.28</v>
      </c>
      <c r="I146">
        <v>67</v>
      </c>
      <c r="J146">
        <v>0</v>
      </c>
      <c r="K146">
        <v>0</v>
      </c>
      <c r="L146">
        <v>2</v>
      </c>
      <c r="M146">
        <v>142117484.08000001</v>
      </c>
      <c r="N146" s="1">
        <v>45596</v>
      </c>
      <c r="O146" t="s">
        <v>122</v>
      </c>
      <c r="P146" t="s">
        <v>50</v>
      </c>
      <c r="Q146" s="1">
        <v>45320</v>
      </c>
      <c r="R146" t="s">
        <v>94</v>
      </c>
      <c r="S146" t="s">
        <v>117</v>
      </c>
      <c r="T146">
        <v>2023</v>
      </c>
      <c r="U146">
        <v>706</v>
      </c>
      <c r="V146">
        <v>735</v>
      </c>
      <c r="W146" t="s">
        <v>70</v>
      </c>
      <c r="X146">
        <v>1431000</v>
      </c>
      <c r="Y146">
        <v>0.22370000000000001</v>
      </c>
      <c r="Z146">
        <v>40</v>
      </c>
      <c r="AA146" t="s">
        <v>108</v>
      </c>
      <c r="AB146" t="s">
        <v>38</v>
      </c>
      <c r="AC146" t="s">
        <v>54</v>
      </c>
      <c r="AD146">
        <v>26682.16</v>
      </c>
      <c r="AE146" t="b">
        <v>0</v>
      </c>
      <c r="AF146">
        <v>989853.61</v>
      </c>
    </row>
    <row r="147" spans="1:32" x14ac:dyDescent="0.3">
      <c r="A147" t="s">
        <v>411</v>
      </c>
      <c r="B147" t="s">
        <v>412</v>
      </c>
      <c r="C147" t="s">
        <v>98</v>
      </c>
      <c r="D147" t="s">
        <v>31</v>
      </c>
      <c r="E147">
        <v>1132300</v>
      </c>
      <c r="F147">
        <v>60</v>
      </c>
      <c r="G147">
        <v>13.06</v>
      </c>
      <c r="H147">
        <v>361371.86</v>
      </c>
      <c r="I147">
        <v>0</v>
      </c>
      <c r="J147">
        <v>0</v>
      </c>
      <c r="K147">
        <v>0</v>
      </c>
      <c r="L147">
        <v>1</v>
      </c>
      <c r="M147">
        <v>142117484.08000001</v>
      </c>
      <c r="N147" s="1">
        <v>45596</v>
      </c>
      <c r="O147" t="s">
        <v>32</v>
      </c>
      <c r="P147" t="s">
        <v>33</v>
      </c>
      <c r="Q147" s="1">
        <v>44394</v>
      </c>
      <c r="R147" t="s">
        <v>94</v>
      </c>
      <c r="S147" t="s">
        <v>95</v>
      </c>
      <c r="T147">
        <v>2021</v>
      </c>
      <c r="U147">
        <v>707</v>
      </c>
      <c r="V147">
        <v>695</v>
      </c>
      <c r="W147" t="s">
        <v>63</v>
      </c>
      <c r="X147">
        <v>4954000</v>
      </c>
      <c r="Y147">
        <v>6.25E-2</v>
      </c>
      <c r="Z147">
        <v>54</v>
      </c>
      <c r="AA147" t="s">
        <v>140</v>
      </c>
      <c r="AB147" t="s">
        <v>38</v>
      </c>
      <c r="AC147" t="s">
        <v>81</v>
      </c>
      <c r="AD147">
        <v>25798.1</v>
      </c>
      <c r="AE147" t="b">
        <v>0</v>
      </c>
      <c r="AF147">
        <v>641156.02</v>
      </c>
    </row>
    <row r="148" spans="1:32" x14ac:dyDescent="0.3">
      <c r="A148" t="s">
        <v>413</v>
      </c>
      <c r="B148" t="s">
        <v>414</v>
      </c>
      <c r="C148" t="s">
        <v>98</v>
      </c>
      <c r="D148" t="s">
        <v>31</v>
      </c>
      <c r="E148">
        <v>606800</v>
      </c>
      <c r="F148">
        <v>36</v>
      </c>
      <c r="G148">
        <v>11.35</v>
      </c>
      <c r="H148">
        <v>238082.89</v>
      </c>
      <c r="I148">
        <v>68</v>
      </c>
      <c r="J148">
        <v>0</v>
      </c>
      <c r="K148">
        <v>0</v>
      </c>
      <c r="L148">
        <v>2</v>
      </c>
      <c r="M148">
        <v>142117484.08000001</v>
      </c>
      <c r="N148" s="1">
        <v>45596</v>
      </c>
      <c r="O148" t="s">
        <v>122</v>
      </c>
      <c r="P148" t="s">
        <v>74</v>
      </c>
      <c r="Q148" s="1">
        <v>44920</v>
      </c>
      <c r="R148" t="s">
        <v>85</v>
      </c>
      <c r="S148" t="s">
        <v>130</v>
      </c>
      <c r="T148">
        <v>2022</v>
      </c>
      <c r="U148">
        <v>707</v>
      </c>
      <c r="V148">
        <v>734</v>
      </c>
      <c r="W148" t="s">
        <v>36</v>
      </c>
      <c r="X148">
        <v>4188000</v>
      </c>
      <c r="Y148">
        <v>5.7200000000000001E-2</v>
      </c>
      <c r="Z148">
        <v>60</v>
      </c>
      <c r="AA148" t="s">
        <v>113</v>
      </c>
      <c r="AB148" t="s">
        <v>38</v>
      </c>
      <c r="AC148" t="s">
        <v>39</v>
      </c>
      <c r="AD148">
        <v>19966.580000000002</v>
      </c>
      <c r="AE148" t="b">
        <v>0</v>
      </c>
      <c r="AF148">
        <v>554886.35</v>
      </c>
    </row>
    <row r="149" spans="1:32" x14ac:dyDescent="0.3">
      <c r="A149" t="s">
        <v>415</v>
      </c>
      <c r="B149" t="s">
        <v>416</v>
      </c>
      <c r="C149" t="s">
        <v>67</v>
      </c>
      <c r="D149" t="s">
        <v>31</v>
      </c>
      <c r="E149">
        <v>1475700</v>
      </c>
      <c r="F149">
        <v>72</v>
      </c>
      <c r="G149">
        <v>8.18</v>
      </c>
      <c r="H149">
        <v>776020.42</v>
      </c>
      <c r="I149">
        <v>82</v>
      </c>
      <c r="J149">
        <v>0</v>
      </c>
      <c r="K149">
        <v>0</v>
      </c>
      <c r="L149">
        <v>2</v>
      </c>
      <c r="M149">
        <v>142117484.08000001</v>
      </c>
      <c r="N149" s="1">
        <v>45596</v>
      </c>
      <c r="O149" t="s">
        <v>122</v>
      </c>
      <c r="P149" t="s">
        <v>74</v>
      </c>
      <c r="Q149" s="1">
        <v>44602</v>
      </c>
      <c r="R149" t="s">
        <v>94</v>
      </c>
      <c r="S149" t="s">
        <v>95</v>
      </c>
      <c r="T149">
        <v>2022</v>
      </c>
      <c r="U149">
        <v>707</v>
      </c>
      <c r="V149">
        <v>675</v>
      </c>
      <c r="W149" t="s">
        <v>70</v>
      </c>
      <c r="X149">
        <v>1389000</v>
      </c>
      <c r="Y149">
        <v>0.22470000000000001</v>
      </c>
      <c r="Z149">
        <v>53</v>
      </c>
      <c r="AA149" t="s">
        <v>108</v>
      </c>
      <c r="AB149" t="s">
        <v>38</v>
      </c>
      <c r="AC149" t="s">
        <v>39</v>
      </c>
      <c r="AD149">
        <v>26003.69</v>
      </c>
      <c r="AE149" t="b">
        <v>0</v>
      </c>
      <c r="AF149">
        <v>1387078.5</v>
      </c>
    </row>
    <row r="150" spans="1:32" x14ac:dyDescent="0.3">
      <c r="A150" t="s">
        <v>417</v>
      </c>
      <c r="B150" t="s">
        <v>418</v>
      </c>
      <c r="C150" t="s">
        <v>30</v>
      </c>
      <c r="D150" t="s">
        <v>43</v>
      </c>
      <c r="E150">
        <v>243300</v>
      </c>
      <c r="F150">
        <v>36</v>
      </c>
      <c r="G150">
        <v>9.81</v>
      </c>
      <c r="H150">
        <v>74072.37</v>
      </c>
      <c r="I150">
        <v>0</v>
      </c>
      <c r="J150">
        <v>0</v>
      </c>
      <c r="K150">
        <v>0</v>
      </c>
      <c r="L150">
        <v>1</v>
      </c>
      <c r="M150">
        <v>142117484.08000001</v>
      </c>
      <c r="N150" s="1">
        <v>45596</v>
      </c>
      <c r="O150" t="s">
        <v>32</v>
      </c>
      <c r="P150" t="s">
        <v>33</v>
      </c>
      <c r="Q150" s="1">
        <v>44844</v>
      </c>
      <c r="R150" t="s">
        <v>85</v>
      </c>
      <c r="S150" t="s">
        <v>130</v>
      </c>
      <c r="T150">
        <v>2017</v>
      </c>
      <c r="U150">
        <v>707</v>
      </c>
      <c r="V150">
        <v>692</v>
      </c>
      <c r="W150" t="s">
        <v>63</v>
      </c>
      <c r="X150">
        <v>4384000</v>
      </c>
      <c r="Y150">
        <v>2.1399999999999999E-2</v>
      </c>
      <c r="Z150">
        <v>41</v>
      </c>
      <c r="AA150" t="s">
        <v>140</v>
      </c>
      <c r="AB150" t="s">
        <v>38</v>
      </c>
      <c r="AC150" t="s">
        <v>81</v>
      </c>
      <c r="AD150">
        <v>7828.92</v>
      </c>
      <c r="AE150" t="b">
        <v>0</v>
      </c>
      <c r="AF150">
        <v>261397.5</v>
      </c>
    </row>
    <row r="151" spans="1:32" x14ac:dyDescent="0.3">
      <c r="A151" t="s">
        <v>419</v>
      </c>
      <c r="B151" t="s">
        <v>420</v>
      </c>
      <c r="C151" t="s">
        <v>30</v>
      </c>
      <c r="D151" t="s">
        <v>31</v>
      </c>
      <c r="E151">
        <v>1258100</v>
      </c>
      <c r="F151">
        <v>48</v>
      </c>
      <c r="G151">
        <v>13.47</v>
      </c>
      <c r="H151">
        <v>123660.63</v>
      </c>
      <c r="I151">
        <v>0</v>
      </c>
      <c r="J151">
        <v>0</v>
      </c>
      <c r="K151">
        <v>0</v>
      </c>
      <c r="L151">
        <v>1</v>
      </c>
      <c r="M151">
        <v>142117484.08000001</v>
      </c>
      <c r="N151" s="1">
        <v>45596</v>
      </c>
      <c r="O151" t="s">
        <v>32</v>
      </c>
      <c r="P151" t="s">
        <v>50</v>
      </c>
      <c r="Q151" s="1">
        <v>44284</v>
      </c>
      <c r="R151" t="s">
        <v>45</v>
      </c>
      <c r="S151" t="s">
        <v>46</v>
      </c>
      <c r="T151">
        <v>2021</v>
      </c>
      <c r="U151">
        <v>707</v>
      </c>
      <c r="V151">
        <v>706</v>
      </c>
      <c r="W151" t="s">
        <v>70</v>
      </c>
      <c r="X151">
        <v>4313000</v>
      </c>
      <c r="Y151">
        <v>9.4700000000000006E-2</v>
      </c>
      <c r="Z151">
        <v>61</v>
      </c>
      <c r="AA151" t="s">
        <v>162</v>
      </c>
      <c r="AB151" t="s">
        <v>38</v>
      </c>
      <c r="AC151" t="s">
        <v>54</v>
      </c>
      <c r="AD151">
        <v>34045.89</v>
      </c>
      <c r="AE151" t="b">
        <v>0</v>
      </c>
      <c r="AF151">
        <v>720769.28</v>
      </c>
    </row>
    <row r="152" spans="1:32" x14ac:dyDescent="0.3">
      <c r="A152" t="s">
        <v>421</v>
      </c>
      <c r="B152" t="s">
        <v>422</v>
      </c>
      <c r="C152" t="s">
        <v>98</v>
      </c>
      <c r="D152" t="s">
        <v>31</v>
      </c>
      <c r="E152">
        <v>1214100</v>
      </c>
      <c r="F152">
        <v>60</v>
      </c>
      <c r="G152">
        <v>12.97</v>
      </c>
      <c r="H152">
        <v>468343.48</v>
      </c>
      <c r="I152">
        <v>72</v>
      </c>
      <c r="J152">
        <v>0</v>
      </c>
      <c r="K152">
        <v>0</v>
      </c>
      <c r="L152">
        <v>2</v>
      </c>
      <c r="M152">
        <v>142117484.08000001</v>
      </c>
      <c r="N152" s="1">
        <v>45596</v>
      </c>
      <c r="O152" t="s">
        <v>122</v>
      </c>
      <c r="P152" t="s">
        <v>74</v>
      </c>
      <c r="Q152" s="1">
        <v>44525</v>
      </c>
      <c r="R152" t="s">
        <v>34</v>
      </c>
      <c r="S152" t="s">
        <v>186</v>
      </c>
      <c r="T152">
        <v>2021</v>
      </c>
      <c r="U152">
        <v>708</v>
      </c>
      <c r="V152">
        <v>698</v>
      </c>
      <c r="W152" t="s">
        <v>36</v>
      </c>
      <c r="X152">
        <v>2968000</v>
      </c>
      <c r="Y152">
        <v>0.1116</v>
      </c>
      <c r="Z152">
        <v>29</v>
      </c>
      <c r="AA152" t="s">
        <v>104</v>
      </c>
      <c r="AB152" t="s">
        <v>38</v>
      </c>
      <c r="AC152" t="s">
        <v>81</v>
      </c>
      <c r="AD152">
        <v>27605.86</v>
      </c>
      <c r="AE152" t="b">
        <v>0</v>
      </c>
      <c r="AF152">
        <v>886550.56</v>
      </c>
    </row>
    <row r="153" spans="1:32" x14ac:dyDescent="0.3">
      <c r="A153" t="s">
        <v>423</v>
      </c>
      <c r="B153" t="s">
        <v>424</v>
      </c>
      <c r="C153" t="s">
        <v>30</v>
      </c>
      <c r="D153" t="s">
        <v>31</v>
      </c>
      <c r="E153">
        <v>996400</v>
      </c>
      <c r="F153">
        <v>48</v>
      </c>
      <c r="G153">
        <v>10.65</v>
      </c>
      <c r="H153">
        <v>492502.83</v>
      </c>
      <c r="I153">
        <v>0</v>
      </c>
      <c r="J153">
        <v>0</v>
      </c>
      <c r="K153">
        <v>0</v>
      </c>
      <c r="L153">
        <v>1</v>
      </c>
      <c r="M153">
        <v>142117484.08000001</v>
      </c>
      <c r="N153" s="1">
        <v>45596</v>
      </c>
      <c r="O153" t="s">
        <v>32</v>
      </c>
      <c r="P153" t="s">
        <v>44</v>
      </c>
      <c r="Q153" s="1">
        <v>44841</v>
      </c>
      <c r="R153" t="s">
        <v>68</v>
      </c>
      <c r="S153" t="s">
        <v>133</v>
      </c>
      <c r="T153">
        <v>2022</v>
      </c>
      <c r="U153">
        <v>708</v>
      </c>
      <c r="V153">
        <v>714</v>
      </c>
      <c r="W153" t="s">
        <v>36</v>
      </c>
      <c r="X153">
        <v>1226000</v>
      </c>
      <c r="Y153">
        <v>0.25040000000000001</v>
      </c>
      <c r="Z153">
        <v>32</v>
      </c>
      <c r="AA153" t="s">
        <v>233</v>
      </c>
      <c r="AB153" t="s">
        <v>38</v>
      </c>
      <c r="AC153" t="s">
        <v>39</v>
      </c>
      <c r="AD153">
        <v>25583.45</v>
      </c>
      <c r="AE153" t="b">
        <v>0</v>
      </c>
      <c r="AF153">
        <v>788828.99</v>
      </c>
    </row>
    <row r="154" spans="1:32" x14ac:dyDescent="0.3">
      <c r="A154" t="s">
        <v>425</v>
      </c>
      <c r="B154" t="s">
        <v>426</v>
      </c>
      <c r="C154" t="s">
        <v>42</v>
      </c>
      <c r="D154" t="s">
        <v>31</v>
      </c>
      <c r="E154">
        <v>363700</v>
      </c>
      <c r="F154">
        <v>84</v>
      </c>
      <c r="G154">
        <v>10.75</v>
      </c>
      <c r="H154">
        <v>221530.57</v>
      </c>
      <c r="I154">
        <v>0</v>
      </c>
      <c r="J154">
        <v>0</v>
      </c>
      <c r="K154">
        <v>0</v>
      </c>
      <c r="L154">
        <v>1</v>
      </c>
      <c r="M154">
        <v>142117484.08000001</v>
      </c>
      <c r="N154" s="1">
        <v>45596</v>
      </c>
      <c r="O154" t="s">
        <v>32</v>
      </c>
      <c r="P154" t="s">
        <v>44</v>
      </c>
      <c r="Q154" s="1">
        <v>44729</v>
      </c>
      <c r="R154" t="s">
        <v>45</v>
      </c>
      <c r="S154" t="s">
        <v>46</v>
      </c>
      <c r="T154">
        <v>2022</v>
      </c>
      <c r="U154">
        <v>708</v>
      </c>
      <c r="V154">
        <v>726</v>
      </c>
      <c r="W154" t="s">
        <v>63</v>
      </c>
      <c r="X154">
        <v>4534000</v>
      </c>
      <c r="Y154">
        <v>1.6400000000000001E-2</v>
      </c>
      <c r="Z154">
        <v>31</v>
      </c>
      <c r="AA154" t="s">
        <v>197</v>
      </c>
      <c r="AB154" t="s">
        <v>38</v>
      </c>
      <c r="AC154" t="s">
        <v>54</v>
      </c>
      <c r="AD154">
        <v>6179.73</v>
      </c>
      <c r="AE154" t="b">
        <v>0</v>
      </c>
      <c r="AF154">
        <v>314696.77</v>
      </c>
    </row>
    <row r="155" spans="1:32" x14ac:dyDescent="0.3">
      <c r="A155" t="s">
        <v>427</v>
      </c>
      <c r="B155" t="s">
        <v>428</v>
      </c>
      <c r="C155" t="s">
        <v>42</v>
      </c>
      <c r="D155" t="s">
        <v>31</v>
      </c>
      <c r="E155">
        <v>661900</v>
      </c>
      <c r="F155">
        <v>60</v>
      </c>
      <c r="G155">
        <v>11.81</v>
      </c>
      <c r="H155">
        <v>312308.08</v>
      </c>
      <c r="I155">
        <v>0</v>
      </c>
      <c r="J155">
        <v>0</v>
      </c>
      <c r="K155">
        <v>0</v>
      </c>
      <c r="L155">
        <v>1</v>
      </c>
      <c r="M155">
        <v>142117484.08000001</v>
      </c>
      <c r="N155" s="1">
        <v>45596</v>
      </c>
      <c r="O155" t="s">
        <v>32</v>
      </c>
      <c r="P155" t="s">
        <v>50</v>
      </c>
      <c r="Q155" s="1">
        <v>44587</v>
      </c>
      <c r="R155" t="s">
        <v>61</v>
      </c>
      <c r="S155" t="s">
        <v>75</v>
      </c>
      <c r="T155">
        <v>2022</v>
      </c>
      <c r="U155">
        <v>709</v>
      </c>
      <c r="V155">
        <v>684</v>
      </c>
      <c r="W155" t="s">
        <v>70</v>
      </c>
      <c r="X155">
        <v>511000</v>
      </c>
      <c r="Y155">
        <v>0.34429999999999999</v>
      </c>
      <c r="Z155">
        <v>33</v>
      </c>
      <c r="AA155" t="s">
        <v>104</v>
      </c>
      <c r="AB155" t="s">
        <v>38</v>
      </c>
      <c r="AC155" t="s">
        <v>81</v>
      </c>
      <c r="AD155">
        <v>14660.13</v>
      </c>
      <c r="AE155" t="b">
        <v>0</v>
      </c>
      <c r="AF155">
        <v>612046.48</v>
      </c>
    </row>
    <row r="156" spans="1:32" x14ac:dyDescent="0.3">
      <c r="A156" t="s">
        <v>429</v>
      </c>
      <c r="B156" t="s">
        <v>430</v>
      </c>
      <c r="C156" t="s">
        <v>30</v>
      </c>
      <c r="D156" t="s">
        <v>31</v>
      </c>
      <c r="E156">
        <v>1315400</v>
      </c>
      <c r="F156">
        <v>36</v>
      </c>
      <c r="G156">
        <v>9.17</v>
      </c>
      <c r="H156">
        <v>172879.03</v>
      </c>
      <c r="I156">
        <v>0</v>
      </c>
      <c r="J156">
        <v>0</v>
      </c>
      <c r="K156">
        <v>0</v>
      </c>
      <c r="L156">
        <v>1</v>
      </c>
      <c r="M156">
        <v>142117484.08000001</v>
      </c>
      <c r="N156" s="1">
        <v>45596</v>
      </c>
      <c r="O156" t="s">
        <v>32</v>
      </c>
      <c r="P156" t="s">
        <v>74</v>
      </c>
      <c r="Q156" s="1">
        <v>44649</v>
      </c>
      <c r="R156" t="s">
        <v>34</v>
      </c>
      <c r="S156" t="s">
        <v>145</v>
      </c>
      <c r="T156">
        <v>2022</v>
      </c>
      <c r="U156">
        <v>709</v>
      </c>
      <c r="V156">
        <v>671</v>
      </c>
      <c r="W156" t="s">
        <v>70</v>
      </c>
      <c r="X156">
        <v>2397000</v>
      </c>
      <c r="Y156">
        <v>0.2099</v>
      </c>
      <c r="Z156">
        <v>62</v>
      </c>
      <c r="AA156" t="s">
        <v>76</v>
      </c>
      <c r="AB156" t="s">
        <v>38</v>
      </c>
      <c r="AC156" t="s">
        <v>54</v>
      </c>
      <c r="AD156">
        <v>41933.519999999997</v>
      </c>
      <c r="AE156" t="b">
        <v>0</v>
      </c>
      <c r="AF156">
        <v>1263855.3700000001</v>
      </c>
    </row>
    <row r="157" spans="1:32" x14ac:dyDescent="0.3">
      <c r="A157" t="s">
        <v>431</v>
      </c>
      <c r="B157" t="s">
        <v>432</v>
      </c>
      <c r="C157" t="s">
        <v>103</v>
      </c>
      <c r="D157" t="s">
        <v>31</v>
      </c>
      <c r="E157">
        <v>720800</v>
      </c>
      <c r="F157">
        <v>60</v>
      </c>
      <c r="G157">
        <v>11.73</v>
      </c>
      <c r="H157">
        <v>687060.73</v>
      </c>
      <c r="I157">
        <v>0</v>
      </c>
      <c r="J157">
        <v>0</v>
      </c>
      <c r="K157">
        <v>0</v>
      </c>
      <c r="L157">
        <v>1</v>
      </c>
      <c r="M157">
        <v>142117484.08000001</v>
      </c>
      <c r="N157" s="1">
        <v>45596</v>
      </c>
      <c r="O157" t="s">
        <v>32</v>
      </c>
      <c r="P157" t="s">
        <v>44</v>
      </c>
      <c r="Q157" s="1">
        <v>45468</v>
      </c>
      <c r="R157" t="s">
        <v>34</v>
      </c>
      <c r="S157" t="s">
        <v>145</v>
      </c>
      <c r="T157">
        <v>2024</v>
      </c>
      <c r="U157">
        <v>709</v>
      </c>
      <c r="V157">
        <v>709</v>
      </c>
      <c r="W157" t="s">
        <v>36</v>
      </c>
      <c r="X157">
        <v>1886000</v>
      </c>
      <c r="Y157">
        <v>0.1014</v>
      </c>
      <c r="Z157">
        <v>58</v>
      </c>
      <c r="AA157" t="s">
        <v>108</v>
      </c>
      <c r="AB157" t="s">
        <v>38</v>
      </c>
      <c r="AC157" t="s">
        <v>39</v>
      </c>
      <c r="AD157">
        <v>15935.63</v>
      </c>
      <c r="AE157" t="b">
        <v>0</v>
      </c>
      <c r="AF157">
        <v>1202195.1000000001</v>
      </c>
    </row>
    <row r="158" spans="1:32" x14ac:dyDescent="0.3">
      <c r="A158" t="s">
        <v>433</v>
      </c>
      <c r="B158" t="s">
        <v>434</v>
      </c>
      <c r="C158" t="s">
        <v>42</v>
      </c>
      <c r="D158" t="s">
        <v>31</v>
      </c>
      <c r="E158">
        <v>372300</v>
      </c>
      <c r="F158">
        <v>36</v>
      </c>
      <c r="G158">
        <v>8.8800000000000008</v>
      </c>
      <c r="H158">
        <v>296036.32</v>
      </c>
      <c r="I158">
        <v>0</v>
      </c>
      <c r="J158">
        <v>0</v>
      </c>
      <c r="K158">
        <v>0</v>
      </c>
      <c r="L158">
        <v>1</v>
      </c>
      <c r="M158">
        <v>142117484.08000001</v>
      </c>
      <c r="N158" s="1">
        <v>45596</v>
      </c>
      <c r="O158" t="s">
        <v>32</v>
      </c>
      <c r="P158" t="s">
        <v>74</v>
      </c>
      <c r="Q158" s="1">
        <v>45358</v>
      </c>
      <c r="R158" t="s">
        <v>171</v>
      </c>
      <c r="S158" t="s">
        <v>435</v>
      </c>
      <c r="T158">
        <v>2024</v>
      </c>
      <c r="U158">
        <v>710</v>
      </c>
      <c r="V158">
        <v>672</v>
      </c>
      <c r="W158" t="s">
        <v>63</v>
      </c>
      <c r="X158">
        <v>3455000</v>
      </c>
      <c r="Y158">
        <v>4.1000000000000002E-2</v>
      </c>
      <c r="Z158">
        <v>44</v>
      </c>
      <c r="AA158" t="s">
        <v>126</v>
      </c>
      <c r="AB158" t="s">
        <v>38</v>
      </c>
      <c r="AC158" t="s">
        <v>54</v>
      </c>
      <c r="AD158">
        <v>11818.26</v>
      </c>
      <c r="AE158" t="b">
        <v>0</v>
      </c>
      <c r="AF158">
        <v>522427.38</v>
      </c>
    </row>
    <row r="159" spans="1:32" x14ac:dyDescent="0.3">
      <c r="A159" t="s">
        <v>436</v>
      </c>
      <c r="B159" t="s">
        <v>437</v>
      </c>
      <c r="C159" t="s">
        <v>67</v>
      </c>
      <c r="D159" t="s">
        <v>31</v>
      </c>
      <c r="E159">
        <v>996100</v>
      </c>
      <c r="F159">
        <v>48</v>
      </c>
      <c r="G159">
        <v>10.16</v>
      </c>
      <c r="H159">
        <v>265866.78000000003</v>
      </c>
      <c r="I159">
        <v>0</v>
      </c>
      <c r="J159">
        <v>0</v>
      </c>
      <c r="K159">
        <v>0</v>
      </c>
      <c r="L159">
        <v>1</v>
      </c>
      <c r="M159">
        <v>142117484.08000001</v>
      </c>
      <c r="N159" s="1">
        <v>45596</v>
      </c>
      <c r="O159" t="s">
        <v>32</v>
      </c>
      <c r="P159" t="s">
        <v>33</v>
      </c>
      <c r="Q159" s="1">
        <v>44554</v>
      </c>
      <c r="R159" t="s">
        <v>68</v>
      </c>
      <c r="S159" t="s">
        <v>133</v>
      </c>
      <c r="T159">
        <v>2021</v>
      </c>
      <c r="U159">
        <v>710</v>
      </c>
      <c r="V159">
        <v>694</v>
      </c>
      <c r="W159" t="s">
        <v>63</v>
      </c>
      <c r="X159">
        <v>2878000</v>
      </c>
      <c r="Y159">
        <v>0.1057</v>
      </c>
      <c r="Z159">
        <v>40</v>
      </c>
      <c r="AA159" t="s">
        <v>148</v>
      </c>
      <c r="AB159" t="s">
        <v>38</v>
      </c>
      <c r="AC159" t="s">
        <v>81</v>
      </c>
      <c r="AD159">
        <v>25340.28</v>
      </c>
      <c r="AE159" t="b">
        <v>0</v>
      </c>
      <c r="AF159">
        <v>964726.2</v>
      </c>
    </row>
    <row r="160" spans="1:32" x14ac:dyDescent="0.3">
      <c r="A160" t="s">
        <v>438</v>
      </c>
      <c r="B160" t="s">
        <v>439</v>
      </c>
      <c r="C160" t="s">
        <v>98</v>
      </c>
      <c r="D160" t="s">
        <v>31</v>
      </c>
      <c r="E160">
        <v>1035200</v>
      </c>
      <c r="F160">
        <v>72</v>
      </c>
      <c r="G160">
        <v>9.99</v>
      </c>
      <c r="H160">
        <v>893826.19</v>
      </c>
      <c r="I160">
        <v>61</v>
      </c>
      <c r="J160">
        <v>0</v>
      </c>
      <c r="K160">
        <v>0</v>
      </c>
      <c r="L160">
        <v>2</v>
      </c>
      <c r="M160">
        <v>142117484.08000001</v>
      </c>
      <c r="N160" s="1">
        <v>45596</v>
      </c>
      <c r="O160" t="s">
        <v>122</v>
      </c>
      <c r="P160" t="s">
        <v>44</v>
      </c>
      <c r="Q160" s="1">
        <v>45434</v>
      </c>
      <c r="R160" t="s">
        <v>85</v>
      </c>
      <c r="S160" t="s">
        <v>440</v>
      </c>
      <c r="T160">
        <v>2024</v>
      </c>
      <c r="U160">
        <v>710</v>
      </c>
      <c r="V160">
        <v>724</v>
      </c>
      <c r="W160" t="s">
        <v>70</v>
      </c>
      <c r="X160">
        <v>4280000</v>
      </c>
      <c r="Y160">
        <v>5.3800000000000001E-2</v>
      </c>
      <c r="Z160">
        <v>22</v>
      </c>
      <c r="AA160" t="s">
        <v>233</v>
      </c>
      <c r="AB160" t="s">
        <v>38</v>
      </c>
      <c r="AC160" t="s">
        <v>39</v>
      </c>
      <c r="AD160">
        <v>19172.73</v>
      </c>
      <c r="AE160" t="b">
        <v>0</v>
      </c>
      <c r="AF160">
        <v>1041084.77</v>
      </c>
    </row>
    <row r="161" spans="1:32" x14ac:dyDescent="0.3">
      <c r="A161" t="s">
        <v>441</v>
      </c>
      <c r="B161" t="s">
        <v>442</v>
      </c>
      <c r="C161" t="s">
        <v>30</v>
      </c>
      <c r="D161" t="s">
        <v>43</v>
      </c>
      <c r="E161">
        <v>803000</v>
      </c>
      <c r="F161">
        <v>84</v>
      </c>
      <c r="G161">
        <v>10.54</v>
      </c>
      <c r="H161">
        <v>590712.72</v>
      </c>
      <c r="I161">
        <v>0</v>
      </c>
      <c r="J161">
        <v>0</v>
      </c>
      <c r="K161">
        <v>0</v>
      </c>
      <c r="L161">
        <v>1</v>
      </c>
      <c r="M161">
        <v>142117484.08000001</v>
      </c>
      <c r="N161" s="1">
        <v>45596</v>
      </c>
      <c r="O161" t="s">
        <v>32</v>
      </c>
      <c r="P161" t="s">
        <v>33</v>
      </c>
      <c r="Q161" s="1">
        <v>45071</v>
      </c>
      <c r="R161" t="s">
        <v>89</v>
      </c>
      <c r="S161" t="s">
        <v>306</v>
      </c>
      <c r="T161">
        <v>2019</v>
      </c>
      <c r="U161">
        <v>711</v>
      </c>
      <c r="V161">
        <v>711</v>
      </c>
      <c r="W161" t="s">
        <v>63</v>
      </c>
      <c r="X161">
        <v>460000</v>
      </c>
      <c r="Y161">
        <v>0.35360000000000003</v>
      </c>
      <c r="Z161">
        <v>48</v>
      </c>
      <c r="AA161" t="s">
        <v>148</v>
      </c>
      <c r="AB161" t="s">
        <v>38</v>
      </c>
      <c r="AC161" t="s">
        <v>54</v>
      </c>
      <c r="AD161">
        <v>13555.87</v>
      </c>
      <c r="AE161" t="b">
        <v>0</v>
      </c>
      <c r="AF161">
        <v>774023.74</v>
      </c>
    </row>
    <row r="162" spans="1:32" x14ac:dyDescent="0.3">
      <c r="A162" t="s">
        <v>443</v>
      </c>
      <c r="B162" t="s">
        <v>444</v>
      </c>
      <c r="C162" t="s">
        <v>67</v>
      </c>
      <c r="D162" t="s">
        <v>31</v>
      </c>
      <c r="E162">
        <v>696600</v>
      </c>
      <c r="F162">
        <v>36</v>
      </c>
      <c r="G162">
        <v>10.82</v>
      </c>
      <c r="H162">
        <v>607782.1</v>
      </c>
      <c r="I162">
        <v>0</v>
      </c>
      <c r="J162">
        <v>0</v>
      </c>
      <c r="K162">
        <v>0</v>
      </c>
      <c r="L162">
        <v>1</v>
      </c>
      <c r="M162">
        <v>142117484.08000001</v>
      </c>
      <c r="N162" s="1">
        <v>45596</v>
      </c>
      <c r="O162" t="s">
        <v>32</v>
      </c>
      <c r="P162" t="s">
        <v>44</v>
      </c>
      <c r="Q162" s="1">
        <v>45467</v>
      </c>
      <c r="R162" t="s">
        <v>61</v>
      </c>
      <c r="S162" t="s">
        <v>62</v>
      </c>
      <c r="T162">
        <v>2024</v>
      </c>
      <c r="U162">
        <v>711</v>
      </c>
      <c r="V162">
        <v>738</v>
      </c>
      <c r="W162" t="s">
        <v>57</v>
      </c>
      <c r="X162">
        <v>2348000</v>
      </c>
      <c r="Y162">
        <v>0.1163</v>
      </c>
      <c r="Z162">
        <v>37</v>
      </c>
      <c r="AA162" t="s">
        <v>162</v>
      </c>
      <c r="AB162" t="s">
        <v>38</v>
      </c>
      <c r="AC162" t="s">
        <v>39</v>
      </c>
      <c r="AD162">
        <v>22746.46</v>
      </c>
      <c r="AE162" t="b">
        <v>0</v>
      </c>
      <c r="AF162">
        <v>912469.56</v>
      </c>
    </row>
    <row r="163" spans="1:32" x14ac:dyDescent="0.3">
      <c r="A163" t="s">
        <v>445</v>
      </c>
      <c r="B163" t="s">
        <v>446</v>
      </c>
      <c r="C163" t="s">
        <v>30</v>
      </c>
      <c r="D163" t="s">
        <v>84</v>
      </c>
      <c r="E163">
        <v>339000</v>
      </c>
      <c r="F163">
        <v>48</v>
      </c>
      <c r="G163">
        <v>11.05</v>
      </c>
      <c r="H163">
        <v>245080.72</v>
      </c>
      <c r="I163">
        <v>0</v>
      </c>
      <c r="J163">
        <v>0</v>
      </c>
      <c r="K163">
        <v>0</v>
      </c>
      <c r="L163">
        <v>1</v>
      </c>
      <c r="M163">
        <v>142117484.08000001</v>
      </c>
      <c r="N163" s="1">
        <v>45596</v>
      </c>
      <c r="O163" t="s">
        <v>32</v>
      </c>
      <c r="P163" t="s">
        <v>33</v>
      </c>
      <c r="Q163" s="1">
        <v>45203</v>
      </c>
      <c r="R163" t="s">
        <v>99</v>
      </c>
      <c r="S163" t="s">
        <v>157</v>
      </c>
      <c r="T163">
        <v>2021</v>
      </c>
      <c r="U163">
        <v>712</v>
      </c>
      <c r="V163">
        <v>716</v>
      </c>
      <c r="W163" t="s">
        <v>63</v>
      </c>
      <c r="X163">
        <v>3692000</v>
      </c>
      <c r="Y163">
        <v>2.8500000000000001E-2</v>
      </c>
      <c r="Z163">
        <v>42</v>
      </c>
      <c r="AA163" t="s">
        <v>226</v>
      </c>
      <c r="AB163" t="s">
        <v>38</v>
      </c>
      <c r="AC163" t="s">
        <v>81</v>
      </c>
      <c r="AD163">
        <v>8769.8700000000008</v>
      </c>
      <c r="AE163" t="b">
        <v>0</v>
      </c>
      <c r="AF163">
        <v>331182.83</v>
      </c>
    </row>
    <row r="164" spans="1:32" x14ac:dyDescent="0.3">
      <c r="A164" t="s">
        <v>447</v>
      </c>
      <c r="B164" t="s">
        <v>448</v>
      </c>
      <c r="C164" t="s">
        <v>103</v>
      </c>
      <c r="D164" t="s">
        <v>31</v>
      </c>
      <c r="E164">
        <v>2672500</v>
      </c>
      <c r="F164">
        <v>60</v>
      </c>
      <c r="G164">
        <v>10.44</v>
      </c>
      <c r="H164">
        <v>2603475.25</v>
      </c>
      <c r="I164">
        <v>0</v>
      </c>
      <c r="J164">
        <v>0</v>
      </c>
      <c r="K164">
        <v>18550.810000000001</v>
      </c>
      <c r="L164">
        <v>1</v>
      </c>
      <c r="M164">
        <v>142117484.08000001</v>
      </c>
      <c r="N164" s="1">
        <v>45596</v>
      </c>
      <c r="O164" t="s">
        <v>32</v>
      </c>
      <c r="P164" t="s">
        <v>33</v>
      </c>
      <c r="Q164" s="1">
        <v>45503</v>
      </c>
      <c r="R164" t="s">
        <v>99</v>
      </c>
      <c r="S164" t="s">
        <v>200</v>
      </c>
      <c r="T164">
        <v>2024</v>
      </c>
      <c r="U164">
        <v>712</v>
      </c>
      <c r="V164">
        <v>736</v>
      </c>
      <c r="W164" t="s">
        <v>57</v>
      </c>
      <c r="X164">
        <v>2496000</v>
      </c>
      <c r="Y164">
        <v>0.27579999999999999</v>
      </c>
      <c r="Z164">
        <v>27</v>
      </c>
      <c r="AA164" t="s">
        <v>80</v>
      </c>
      <c r="AB164" t="s">
        <v>38</v>
      </c>
      <c r="AC164" t="s">
        <v>54</v>
      </c>
      <c r="AD164">
        <v>57363.05</v>
      </c>
      <c r="AE164" t="b">
        <v>0</v>
      </c>
      <c r="AF164">
        <v>3173536.89</v>
      </c>
    </row>
    <row r="165" spans="1:32" x14ac:dyDescent="0.3">
      <c r="A165" t="s">
        <v>449</v>
      </c>
      <c r="B165" t="s">
        <v>450</v>
      </c>
      <c r="C165" t="s">
        <v>98</v>
      </c>
      <c r="D165" t="s">
        <v>31</v>
      </c>
      <c r="E165">
        <v>877800</v>
      </c>
      <c r="F165">
        <v>60</v>
      </c>
      <c r="G165">
        <v>10.48</v>
      </c>
      <c r="H165">
        <v>429314.7</v>
      </c>
      <c r="I165">
        <v>0</v>
      </c>
      <c r="J165">
        <v>0</v>
      </c>
      <c r="K165">
        <v>0</v>
      </c>
      <c r="L165">
        <v>1</v>
      </c>
      <c r="M165">
        <v>142117484.08000001</v>
      </c>
      <c r="N165" s="1">
        <v>45596</v>
      </c>
      <c r="O165" t="s">
        <v>32</v>
      </c>
      <c r="P165" t="s">
        <v>74</v>
      </c>
      <c r="Q165" s="1">
        <v>44650</v>
      </c>
      <c r="R165" t="s">
        <v>85</v>
      </c>
      <c r="S165" t="s">
        <v>440</v>
      </c>
      <c r="T165">
        <v>2022</v>
      </c>
      <c r="U165">
        <v>714</v>
      </c>
      <c r="V165">
        <v>693</v>
      </c>
      <c r="W165" t="s">
        <v>70</v>
      </c>
      <c r="X165">
        <v>1573000</v>
      </c>
      <c r="Y165">
        <v>0.1439</v>
      </c>
      <c r="Z165">
        <v>46</v>
      </c>
      <c r="AA165" t="s">
        <v>64</v>
      </c>
      <c r="AB165" t="s">
        <v>38</v>
      </c>
      <c r="AC165" t="s">
        <v>81</v>
      </c>
      <c r="AD165">
        <v>18858.650000000001</v>
      </c>
      <c r="AE165" t="b">
        <v>0</v>
      </c>
      <c r="AF165">
        <v>631433.94999999995</v>
      </c>
    </row>
    <row r="166" spans="1:32" x14ac:dyDescent="0.3">
      <c r="A166" t="s">
        <v>451</v>
      </c>
      <c r="B166" t="s">
        <v>452</v>
      </c>
      <c r="C166" t="s">
        <v>67</v>
      </c>
      <c r="D166" t="s">
        <v>31</v>
      </c>
      <c r="E166">
        <v>718200</v>
      </c>
      <c r="F166">
        <v>72</v>
      </c>
      <c r="G166">
        <v>10.17</v>
      </c>
      <c r="H166">
        <v>383558.27</v>
      </c>
      <c r="I166">
        <v>0</v>
      </c>
      <c r="J166">
        <v>0</v>
      </c>
      <c r="K166">
        <v>0</v>
      </c>
      <c r="L166">
        <v>1</v>
      </c>
      <c r="M166">
        <v>142117484.08000001</v>
      </c>
      <c r="N166" s="1">
        <v>45596</v>
      </c>
      <c r="O166" t="s">
        <v>32</v>
      </c>
      <c r="P166" t="s">
        <v>44</v>
      </c>
      <c r="Q166" s="1">
        <v>44534</v>
      </c>
      <c r="R166" t="s">
        <v>51</v>
      </c>
      <c r="S166" t="s">
        <v>79</v>
      </c>
      <c r="T166">
        <v>2021</v>
      </c>
      <c r="U166">
        <v>714</v>
      </c>
      <c r="V166">
        <v>678</v>
      </c>
      <c r="W166" t="s">
        <v>70</v>
      </c>
      <c r="X166">
        <v>478000</v>
      </c>
      <c r="Y166">
        <v>0.33560000000000001</v>
      </c>
      <c r="Z166">
        <v>36</v>
      </c>
      <c r="AA166" t="s">
        <v>71</v>
      </c>
      <c r="AB166" t="s">
        <v>38</v>
      </c>
      <c r="AC166" t="s">
        <v>81</v>
      </c>
      <c r="AD166">
        <v>13366.91</v>
      </c>
      <c r="AE166" t="b">
        <v>0</v>
      </c>
      <c r="AF166">
        <v>541152.09</v>
      </c>
    </row>
    <row r="167" spans="1:32" x14ac:dyDescent="0.3">
      <c r="A167" t="s">
        <v>453</v>
      </c>
      <c r="B167" t="s">
        <v>454</v>
      </c>
      <c r="C167" t="s">
        <v>67</v>
      </c>
      <c r="D167" t="s">
        <v>84</v>
      </c>
      <c r="E167">
        <v>954700</v>
      </c>
      <c r="F167">
        <v>36</v>
      </c>
      <c r="G167">
        <v>13.07</v>
      </c>
      <c r="H167">
        <v>529511.25</v>
      </c>
      <c r="I167">
        <v>0</v>
      </c>
      <c r="J167">
        <v>0</v>
      </c>
      <c r="K167">
        <v>0</v>
      </c>
      <c r="L167">
        <v>1</v>
      </c>
      <c r="M167">
        <v>142117484.08000001</v>
      </c>
      <c r="N167" s="1">
        <v>45596</v>
      </c>
      <c r="O167" t="s">
        <v>32</v>
      </c>
      <c r="P167" t="s">
        <v>74</v>
      </c>
      <c r="Q167" s="1">
        <v>45169</v>
      </c>
      <c r="R167" t="s">
        <v>171</v>
      </c>
      <c r="S167" t="s">
        <v>398</v>
      </c>
      <c r="T167">
        <v>2020</v>
      </c>
      <c r="U167">
        <v>714</v>
      </c>
      <c r="V167">
        <v>668</v>
      </c>
      <c r="W167" t="s">
        <v>70</v>
      </c>
      <c r="X167">
        <v>884000</v>
      </c>
      <c r="Y167">
        <v>0.43709999999999999</v>
      </c>
      <c r="Z167">
        <v>54</v>
      </c>
      <c r="AA167" t="s">
        <v>47</v>
      </c>
      <c r="AB167" t="s">
        <v>38</v>
      </c>
      <c r="AC167" t="s">
        <v>54</v>
      </c>
      <c r="AD167">
        <v>32199.81</v>
      </c>
      <c r="AE167" t="b">
        <v>0</v>
      </c>
      <c r="AF167">
        <v>768698.11</v>
      </c>
    </row>
    <row r="168" spans="1:32" x14ac:dyDescent="0.3">
      <c r="A168" t="s">
        <v>455</v>
      </c>
      <c r="B168" t="s">
        <v>456</v>
      </c>
      <c r="C168" t="s">
        <v>103</v>
      </c>
      <c r="D168" t="s">
        <v>31</v>
      </c>
      <c r="E168">
        <v>2384100</v>
      </c>
      <c r="F168">
        <v>84</v>
      </c>
      <c r="G168">
        <v>10.68</v>
      </c>
      <c r="H168">
        <v>2041648.8</v>
      </c>
      <c r="I168">
        <v>0</v>
      </c>
      <c r="J168">
        <v>0</v>
      </c>
      <c r="K168">
        <v>0</v>
      </c>
      <c r="L168">
        <v>1</v>
      </c>
      <c r="M168">
        <v>142117484.08000001</v>
      </c>
      <c r="N168" s="1">
        <v>45596</v>
      </c>
      <c r="O168" t="s">
        <v>32</v>
      </c>
      <c r="P168" t="s">
        <v>50</v>
      </c>
      <c r="Q168" s="1">
        <v>45422</v>
      </c>
      <c r="R168" t="s">
        <v>68</v>
      </c>
      <c r="S168" t="s">
        <v>133</v>
      </c>
      <c r="T168">
        <v>2024</v>
      </c>
      <c r="U168">
        <v>715</v>
      </c>
      <c r="V168">
        <v>679</v>
      </c>
      <c r="W168" t="s">
        <v>36</v>
      </c>
      <c r="X168">
        <v>780000</v>
      </c>
      <c r="Y168">
        <v>0.62190000000000001</v>
      </c>
      <c r="Z168">
        <v>43</v>
      </c>
      <c r="AA168" t="s">
        <v>37</v>
      </c>
      <c r="AB168" t="s">
        <v>38</v>
      </c>
      <c r="AC168" t="s">
        <v>54</v>
      </c>
      <c r="AD168">
        <v>40421.57</v>
      </c>
      <c r="AE168" t="b">
        <v>0</v>
      </c>
      <c r="AF168">
        <v>2794329.7</v>
      </c>
    </row>
    <row r="169" spans="1:32" x14ac:dyDescent="0.3">
      <c r="A169" t="s">
        <v>457</v>
      </c>
      <c r="B169" t="s">
        <v>458</v>
      </c>
      <c r="C169" t="s">
        <v>103</v>
      </c>
      <c r="D169" t="s">
        <v>31</v>
      </c>
      <c r="E169">
        <v>970500</v>
      </c>
      <c r="F169">
        <v>60</v>
      </c>
      <c r="G169">
        <v>8.3699999999999992</v>
      </c>
      <c r="H169">
        <v>727143.28</v>
      </c>
      <c r="I169">
        <v>0</v>
      </c>
      <c r="J169">
        <v>0</v>
      </c>
      <c r="K169">
        <v>0</v>
      </c>
      <c r="L169">
        <v>1</v>
      </c>
      <c r="M169">
        <v>142117484.08000001</v>
      </c>
      <c r="N169" s="1">
        <v>45596</v>
      </c>
      <c r="O169" t="s">
        <v>32</v>
      </c>
      <c r="P169" t="s">
        <v>33</v>
      </c>
      <c r="Q169" s="1">
        <v>45188</v>
      </c>
      <c r="R169" t="s">
        <v>51</v>
      </c>
      <c r="S169" t="s">
        <v>194</v>
      </c>
      <c r="T169">
        <v>2023</v>
      </c>
      <c r="U169">
        <v>715</v>
      </c>
      <c r="V169">
        <v>728</v>
      </c>
      <c r="W169" t="s">
        <v>57</v>
      </c>
      <c r="X169">
        <v>2511000</v>
      </c>
      <c r="Y169">
        <v>9.4899999999999998E-2</v>
      </c>
      <c r="Z169">
        <v>48</v>
      </c>
      <c r="AA169" t="s">
        <v>148</v>
      </c>
      <c r="AB169" t="s">
        <v>38</v>
      </c>
      <c r="AC169" t="s">
        <v>81</v>
      </c>
      <c r="AD169">
        <v>19850.54</v>
      </c>
      <c r="AE169" t="b">
        <v>0</v>
      </c>
      <c r="AF169">
        <v>963669.15</v>
      </c>
    </row>
    <row r="170" spans="1:32" x14ac:dyDescent="0.3">
      <c r="A170" t="s">
        <v>459</v>
      </c>
      <c r="B170" t="s">
        <v>460</v>
      </c>
      <c r="C170" t="s">
        <v>67</v>
      </c>
      <c r="D170" t="s">
        <v>31</v>
      </c>
      <c r="E170">
        <v>529600</v>
      </c>
      <c r="F170">
        <v>84</v>
      </c>
      <c r="G170">
        <v>11.65</v>
      </c>
      <c r="H170">
        <v>411920.43</v>
      </c>
      <c r="I170">
        <v>0</v>
      </c>
      <c r="J170">
        <v>0</v>
      </c>
      <c r="K170">
        <v>0</v>
      </c>
      <c r="L170">
        <v>1</v>
      </c>
      <c r="M170">
        <v>142117484.08000001</v>
      </c>
      <c r="N170" s="1">
        <v>45596</v>
      </c>
      <c r="O170" t="s">
        <v>32</v>
      </c>
      <c r="P170" t="s">
        <v>33</v>
      </c>
      <c r="Q170" s="1">
        <v>45178</v>
      </c>
      <c r="R170" t="s">
        <v>34</v>
      </c>
      <c r="S170" t="s">
        <v>186</v>
      </c>
      <c r="T170">
        <v>2023</v>
      </c>
      <c r="U170">
        <v>716</v>
      </c>
      <c r="V170">
        <v>689</v>
      </c>
      <c r="W170" t="s">
        <v>63</v>
      </c>
      <c r="X170">
        <v>563000</v>
      </c>
      <c r="Y170">
        <v>0.19719999999999999</v>
      </c>
      <c r="Z170">
        <v>25</v>
      </c>
      <c r="AA170" t="s">
        <v>108</v>
      </c>
      <c r="AB170" t="s">
        <v>38</v>
      </c>
      <c r="AC170" t="s">
        <v>54</v>
      </c>
      <c r="AD170">
        <v>9250.0499999999993</v>
      </c>
      <c r="AE170" t="b">
        <v>0</v>
      </c>
      <c r="AF170">
        <v>744591.2</v>
      </c>
    </row>
    <row r="171" spans="1:32" x14ac:dyDescent="0.3">
      <c r="A171" t="s">
        <v>461</v>
      </c>
      <c r="B171" t="s">
        <v>462</v>
      </c>
      <c r="C171" t="s">
        <v>67</v>
      </c>
      <c r="D171" t="s">
        <v>31</v>
      </c>
      <c r="E171">
        <v>1526600</v>
      </c>
      <c r="F171">
        <v>48</v>
      </c>
      <c r="G171">
        <v>7.98</v>
      </c>
      <c r="H171">
        <v>721603.63</v>
      </c>
      <c r="I171">
        <v>0</v>
      </c>
      <c r="J171">
        <v>0</v>
      </c>
      <c r="K171">
        <v>0</v>
      </c>
      <c r="L171">
        <v>1</v>
      </c>
      <c r="M171">
        <v>142117484.08000001</v>
      </c>
      <c r="N171" s="1">
        <v>45596</v>
      </c>
      <c r="O171" t="s">
        <v>32</v>
      </c>
      <c r="P171" t="s">
        <v>44</v>
      </c>
      <c r="Q171" s="1">
        <v>44830</v>
      </c>
      <c r="R171" t="s">
        <v>94</v>
      </c>
      <c r="S171" t="s">
        <v>95</v>
      </c>
      <c r="T171">
        <v>2022</v>
      </c>
      <c r="U171">
        <v>716</v>
      </c>
      <c r="V171">
        <v>726</v>
      </c>
      <c r="W171" t="s">
        <v>57</v>
      </c>
      <c r="X171">
        <v>2407000</v>
      </c>
      <c r="Y171">
        <v>0.1857</v>
      </c>
      <c r="Z171">
        <v>29</v>
      </c>
      <c r="AA171" t="s">
        <v>233</v>
      </c>
      <c r="AB171" t="s">
        <v>38</v>
      </c>
      <c r="AC171" t="s">
        <v>54</v>
      </c>
      <c r="AD171">
        <v>37254.44</v>
      </c>
      <c r="AE171" t="b">
        <v>0</v>
      </c>
      <c r="AF171">
        <v>1239922.8799999999</v>
      </c>
    </row>
    <row r="172" spans="1:32" x14ac:dyDescent="0.3">
      <c r="A172" t="s">
        <v>463</v>
      </c>
      <c r="B172" t="s">
        <v>464</v>
      </c>
      <c r="C172" t="s">
        <v>103</v>
      </c>
      <c r="D172" t="s">
        <v>31</v>
      </c>
      <c r="E172">
        <v>831600</v>
      </c>
      <c r="F172">
        <v>60</v>
      </c>
      <c r="G172">
        <v>10.4</v>
      </c>
      <c r="H172">
        <v>326842.36</v>
      </c>
      <c r="I172">
        <v>0</v>
      </c>
      <c r="J172">
        <v>0</v>
      </c>
      <c r="K172">
        <v>0</v>
      </c>
      <c r="L172">
        <v>1</v>
      </c>
      <c r="M172">
        <v>142117484.08000001</v>
      </c>
      <c r="N172" s="1">
        <v>45596</v>
      </c>
      <c r="O172" t="s">
        <v>32</v>
      </c>
      <c r="P172" t="s">
        <v>44</v>
      </c>
      <c r="Q172" s="1">
        <v>44468</v>
      </c>
      <c r="R172" t="s">
        <v>51</v>
      </c>
      <c r="S172" t="s">
        <v>79</v>
      </c>
      <c r="T172">
        <v>2021</v>
      </c>
      <c r="U172">
        <v>716</v>
      </c>
      <c r="V172">
        <v>722</v>
      </c>
      <c r="W172" t="s">
        <v>63</v>
      </c>
      <c r="X172">
        <v>4903000</v>
      </c>
      <c r="Y172">
        <v>4.36E-2</v>
      </c>
      <c r="Z172">
        <v>37</v>
      </c>
      <c r="AA172" t="s">
        <v>104</v>
      </c>
      <c r="AB172" t="s">
        <v>38</v>
      </c>
      <c r="AC172" t="s">
        <v>54</v>
      </c>
      <c r="AD172">
        <v>17833.16</v>
      </c>
      <c r="AE172" t="b">
        <v>0</v>
      </c>
      <c r="AF172">
        <v>670562.64</v>
      </c>
    </row>
    <row r="173" spans="1:32" x14ac:dyDescent="0.3">
      <c r="A173" t="s">
        <v>465</v>
      </c>
      <c r="B173" t="s">
        <v>466</v>
      </c>
      <c r="C173" t="s">
        <v>67</v>
      </c>
      <c r="D173" t="s">
        <v>31</v>
      </c>
      <c r="E173">
        <v>694700</v>
      </c>
      <c r="F173">
        <v>48</v>
      </c>
      <c r="G173">
        <v>12.24</v>
      </c>
      <c r="H173">
        <v>446318.04</v>
      </c>
      <c r="I173">
        <v>0</v>
      </c>
      <c r="J173">
        <v>0</v>
      </c>
      <c r="K173">
        <v>0</v>
      </c>
      <c r="L173">
        <v>1</v>
      </c>
      <c r="M173">
        <v>142117484.08000001</v>
      </c>
      <c r="N173" s="1">
        <v>45596</v>
      </c>
      <c r="O173" t="s">
        <v>32</v>
      </c>
      <c r="P173" t="s">
        <v>74</v>
      </c>
      <c r="Q173" s="1">
        <v>45136</v>
      </c>
      <c r="R173" t="s">
        <v>68</v>
      </c>
      <c r="S173" t="s">
        <v>205</v>
      </c>
      <c r="T173">
        <v>2023</v>
      </c>
      <c r="U173">
        <v>717</v>
      </c>
      <c r="V173">
        <v>698</v>
      </c>
      <c r="W173" t="s">
        <v>36</v>
      </c>
      <c r="X173">
        <v>643000</v>
      </c>
      <c r="Y173">
        <v>0.34289999999999998</v>
      </c>
      <c r="Z173">
        <v>49</v>
      </c>
      <c r="AA173" t="s">
        <v>104</v>
      </c>
      <c r="AB173" t="s">
        <v>38</v>
      </c>
      <c r="AC173" t="s">
        <v>39</v>
      </c>
      <c r="AD173">
        <v>18376.080000000002</v>
      </c>
      <c r="AE173" t="b">
        <v>0</v>
      </c>
      <c r="AF173">
        <v>981578.56</v>
      </c>
    </row>
    <row r="174" spans="1:32" x14ac:dyDescent="0.3">
      <c r="A174" t="s">
        <v>467</v>
      </c>
      <c r="B174" t="s">
        <v>468</v>
      </c>
      <c r="C174" t="s">
        <v>67</v>
      </c>
      <c r="D174" t="s">
        <v>31</v>
      </c>
      <c r="E174">
        <v>1513000</v>
      </c>
      <c r="F174">
        <v>48</v>
      </c>
      <c r="G174">
        <v>12.84</v>
      </c>
      <c r="H174">
        <v>913588.33</v>
      </c>
      <c r="I174">
        <v>0</v>
      </c>
      <c r="J174">
        <v>0</v>
      </c>
      <c r="K174">
        <v>0</v>
      </c>
      <c r="L174">
        <v>1</v>
      </c>
      <c r="M174">
        <v>142117484.08000001</v>
      </c>
      <c r="N174" s="1">
        <v>45596</v>
      </c>
      <c r="O174" t="s">
        <v>32</v>
      </c>
      <c r="P174" t="s">
        <v>44</v>
      </c>
      <c r="Q174" s="1">
        <v>44961</v>
      </c>
      <c r="R174" t="s">
        <v>45</v>
      </c>
      <c r="S174" t="s">
        <v>107</v>
      </c>
      <c r="T174">
        <v>2023</v>
      </c>
      <c r="U174">
        <v>718</v>
      </c>
      <c r="V174">
        <v>741</v>
      </c>
      <c r="W174" t="s">
        <v>70</v>
      </c>
      <c r="X174">
        <v>2302000</v>
      </c>
      <c r="Y174">
        <v>0.21099999999999999</v>
      </c>
      <c r="Z174">
        <v>29</v>
      </c>
      <c r="AA174" t="s">
        <v>162</v>
      </c>
      <c r="AB174" t="s">
        <v>38</v>
      </c>
      <c r="AC174" t="s">
        <v>54</v>
      </c>
      <c r="AD174">
        <v>40469.949999999997</v>
      </c>
      <c r="AE174" t="b">
        <v>0</v>
      </c>
      <c r="AF174">
        <v>1198147.6200000001</v>
      </c>
    </row>
    <row r="175" spans="1:32" x14ac:dyDescent="0.3">
      <c r="A175" t="s">
        <v>469</v>
      </c>
      <c r="B175" t="s">
        <v>470</v>
      </c>
      <c r="C175" t="s">
        <v>103</v>
      </c>
      <c r="D175" t="s">
        <v>31</v>
      </c>
      <c r="E175">
        <v>1182800</v>
      </c>
      <c r="F175">
        <v>72</v>
      </c>
      <c r="G175">
        <v>11.27</v>
      </c>
      <c r="H175">
        <v>1095287.21</v>
      </c>
      <c r="I175">
        <v>0</v>
      </c>
      <c r="J175">
        <v>0</v>
      </c>
      <c r="K175">
        <v>0</v>
      </c>
      <c r="L175">
        <v>1</v>
      </c>
      <c r="M175">
        <v>142117484.08000001</v>
      </c>
      <c r="N175" s="1">
        <v>45596</v>
      </c>
      <c r="O175" t="s">
        <v>32</v>
      </c>
      <c r="P175" t="s">
        <v>50</v>
      </c>
      <c r="Q175" s="1">
        <v>45393</v>
      </c>
      <c r="R175" t="s">
        <v>171</v>
      </c>
      <c r="S175" t="s">
        <v>281</v>
      </c>
      <c r="T175">
        <v>2024</v>
      </c>
      <c r="U175">
        <v>719</v>
      </c>
      <c r="V175">
        <v>724</v>
      </c>
      <c r="W175" t="s">
        <v>63</v>
      </c>
      <c r="X175">
        <v>2595000</v>
      </c>
      <c r="Y175">
        <v>0.10489999999999999</v>
      </c>
      <c r="Z175">
        <v>60</v>
      </c>
      <c r="AA175" t="s">
        <v>162</v>
      </c>
      <c r="AB175" t="s">
        <v>38</v>
      </c>
      <c r="AC175" t="s">
        <v>54</v>
      </c>
      <c r="AD175">
        <v>22677.42</v>
      </c>
      <c r="AE175" t="b">
        <v>0</v>
      </c>
      <c r="AF175">
        <v>1454332.05</v>
      </c>
    </row>
    <row r="176" spans="1:32" x14ac:dyDescent="0.3">
      <c r="A176" t="s">
        <v>471</v>
      </c>
      <c r="B176" t="s">
        <v>472</v>
      </c>
      <c r="C176" t="s">
        <v>42</v>
      </c>
      <c r="D176" t="s">
        <v>31</v>
      </c>
      <c r="E176">
        <v>374800</v>
      </c>
      <c r="F176">
        <v>48</v>
      </c>
      <c r="G176">
        <v>7.54</v>
      </c>
      <c r="H176">
        <v>110865.68</v>
      </c>
      <c r="I176">
        <v>0</v>
      </c>
      <c r="J176">
        <v>0</v>
      </c>
      <c r="K176">
        <v>0</v>
      </c>
      <c r="L176">
        <v>1</v>
      </c>
      <c r="M176">
        <v>142117484.08000001</v>
      </c>
      <c r="N176" s="1">
        <v>45596</v>
      </c>
      <c r="O176" t="s">
        <v>32</v>
      </c>
      <c r="P176" t="s">
        <v>33</v>
      </c>
      <c r="Q176" s="1">
        <v>44588</v>
      </c>
      <c r="R176" t="s">
        <v>85</v>
      </c>
      <c r="S176" t="s">
        <v>130</v>
      </c>
      <c r="T176">
        <v>2022</v>
      </c>
      <c r="U176">
        <v>719</v>
      </c>
      <c r="V176">
        <v>673</v>
      </c>
      <c r="W176" t="s">
        <v>36</v>
      </c>
      <c r="X176">
        <v>657000</v>
      </c>
      <c r="Y176">
        <v>0.1656</v>
      </c>
      <c r="Z176">
        <v>47</v>
      </c>
      <c r="AA176" t="s">
        <v>126</v>
      </c>
      <c r="AB176" t="s">
        <v>38</v>
      </c>
      <c r="AC176" t="s">
        <v>54</v>
      </c>
      <c r="AD176">
        <v>9069.25</v>
      </c>
      <c r="AE176" t="b">
        <v>0</v>
      </c>
      <c r="AF176">
        <v>282878.31</v>
      </c>
    </row>
    <row r="177" spans="1:32" x14ac:dyDescent="0.3">
      <c r="A177" t="s">
        <v>473</v>
      </c>
      <c r="B177" t="s">
        <v>474</v>
      </c>
      <c r="C177" t="s">
        <v>30</v>
      </c>
      <c r="D177" t="s">
        <v>31</v>
      </c>
      <c r="E177">
        <v>1253600</v>
      </c>
      <c r="F177">
        <v>48</v>
      </c>
      <c r="G177">
        <v>9.44</v>
      </c>
      <c r="H177">
        <v>496571.93</v>
      </c>
      <c r="I177">
        <v>0</v>
      </c>
      <c r="J177">
        <v>0</v>
      </c>
      <c r="K177">
        <v>0</v>
      </c>
      <c r="L177">
        <v>1</v>
      </c>
      <c r="M177">
        <v>142117484.08000001</v>
      </c>
      <c r="N177" s="1">
        <v>45596</v>
      </c>
      <c r="O177" t="s">
        <v>32</v>
      </c>
      <c r="P177" t="s">
        <v>74</v>
      </c>
      <c r="Q177" s="1">
        <v>44696</v>
      </c>
      <c r="R177" t="s">
        <v>171</v>
      </c>
      <c r="S177" t="s">
        <v>475</v>
      </c>
      <c r="T177">
        <v>2022</v>
      </c>
      <c r="U177">
        <v>719</v>
      </c>
      <c r="V177">
        <v>669</v>
      </c>
      <c r="W177" t="s">
        <v>63</v>
      </c>
      <c r="X177">
        <v>3488000</v>
      </c>
      <c r="Y177">
        <v>0.1082</v>
      </c>
      <c r="Z177">
        <v>49</v>
      </c>
      <c r="AA177" t="s">
        <v>80</v>
      </c>
      <c r="AB177" t="s">
        <v>38</v>
      </c>
      <c r="AC177" t="s">
        <v>54</v>
      </c>
      <c r="AD177">
        <v>31458.46</v>
      </c>
      <c r="AE177" t="b">
        <v>0</v>
      </c>
      <c r="AF177">
        <v>1104667.57</v>
      </c>
    </row>
    <row r="178" spans="1:32" x14ac:dyDescent="0.3">
      <c r="A178" t="s">
        <v>476</v>
      </c>
      <c r="B178" t="s">
        <v>477</v>
      </c>
      <c r="C178" t="s">
        <v>98</v>
      </c>
      <c r="D178" t="s">
        <v>31</v>
      </c>
      <c r="E178">
        <v>780900</v>
      </c>
      <c r="F178">
        <v>72</v>
      </c>
      <c r="G178">
        <v>10.65</v>
      </c>
      <c r="H178">
        <v>615120.62</v>
      </c>
      <c r="I178">
        <v>0</v>
      </c>
      <c r="J178">
        <v>0</v>
      </c>
      <c r="K178">
        <v>0</v>
      </c>
      <c r="L178">
        <v>1</v>
      </c>
      <c r="M178">
        <v>142117484.08000001</v>
      </c>
      <c r="N178" s="1">
        <v>45596</v>
      </c>
      <c r="O178" t="s">
        <v>32</v>
      </c>
      <c r="P178" t="s">
        <v>44</v>
      </c>
      <c r="Q178" s="1">
        <v>45103</v>
      </c>
      <c r="R178" t="s">
        <v>45</v>
      </c>
      <c r="S178" t="s">
        <v>107</v>
      </c>
      <c r="T178">
        <v>2023</v>
      </c>
      <c r="U178">
        <v>720</v>
      </c>
      <c r="V178">
        <v>726</v>
      </c>
      <c r="W178" t="s">
        <v>70</v>
      </c>
      <c r="X178">
        <v>3246000</v>
      </c>
      <c r="Y178">
        <v>5.4399999999999997E-2</v>
      </c>
      <c r="Z178">
        <v>40</v>
      </c>
      <c r="AA178" t="s">
        <v>47</v>
      </c>
      <c r="AB178" t="s">
        <v>38</v>
      </c>
      <c r="AC178" t="s">
        <v>54</v>
      </c>
      <c r="AD178">
        <v>14724.1</v>
      </c>
      <c r="AE178" t="b">
        <v>0</v>
      </c>
      <c r="AF178">
        <v>1040245.48</v>
      </c>
    </row>
    <row r="179" spans="1:32" x14ac:dyDescent="0.3">
      <c r="A179" t="s">
        <v>478</v>
      </c>
      <c r="B179" t="s">
        <v>479</v>
      </c>
      <c r="C179" t="s">
        <v>30</v>
      </c>
      <c r="D179" t="s">
        <v>43</v>
      </c>
      <c r="E179">
        <v>904900</v>
      </c>
      <c r="F179">
        <v>36</v>
      </c>
      <c r="G179">
        <v>11.97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142117484.08000001</v>
      </c>
      <c r="N179" s="1">
        <v>45596</v>
      </c>
      <c r="O179" t="s">
        <v>32</v>
      </c>
      <c r="P179" t="s">
        <v>33</v>
      </c>
      <c r="Q179" s="1">
        <v>44442</v>
      </c>
      <c r="R179" t="s">
        <v>99</v>
      </c>
      <c r="S179" t="s">
        <v>480</v>
      </c>
      <c r="T179">
        <v>2016</v>
      </c>
      <c r="U179">
        <v>720</v>
      </c>
      <c r="V179">
        <v>677</v>
      </c>
      <c r="W179" t="s">
        <v>36</v>
      </c>
      <c r="X179">
        <v>4035000</v>
      </c>
      <c r="Y179">
        <v>8.9300000000000004E-2</v>
      </c>
      <c r="Z179">
        <v>52</v>
      </c>
      <c r="AA179" t="s">
        <v>37</v>
      </c>
      <c r="AB179" t="s">
        <v>38</v>
      </c>
      <c r="AC179" t="s">
        <v>39</v>
      </c>
      <c r="AD179">
        <v>30042.66</v>
      </c>
      <c r="AE179" t="b">
        <v>0</v>
      </c>
      <c r="AF179">
        <v>762057.61</v>
      </c>
    </row>
    <row r="180" spans="1:32" x14ac:dyDescent="0.3">
      <c r="A180" t="s">
        <v>481</v>
      </c>
      <c r="B180" t="s">
        <v>482</v>
      </c>
      <c r="C180" t="s">
        <v>98</v>
      </c>
      <c r="D180" t="s">
        <v>43</v>
      </c>
      <c r="E180">
        <v>1078800</v>
      </c>
      <c r="F180">
        <v>72</v>
      </c>
      <c r="G180">
        <v>9.7200000000000006</v>
      </c>
      <c r="H180">
        <v>582383.39</v>
      </c>
      <c r="I180">
        <v>0</v>
      </c>
      <c r="J180">
        <v>0</v>
      </c>
      <c r="K180">
        <v>0</v>
      </c>
      <c r="L180">
        <v>1</v>
      </c>
      <c r="M180">
        <v>142117484.08000001</v>
      </c>
      <c r="N180" s="1">
        <v>45596</v>
      </c>
      <c r="O180" t="s">
        <v>32</v>
      </c>
      <c r="P180" t="s">
        <v>50</v>
      </c>
      <c r="Q180" s="1">
        <v>44631</v>
      </c>
      <c r="R180" t="s">
        <v>94</v>
      </c>
      <c r="S180" t="s">
        <v>95</v>
      </c>
      <c r="T180">
        <v>2019</v>
      </c>
      <c r="U180">
        <v>720</v>
      </c>
      <c r="V180">
        <v>723</v>
      </c>
      <c r="W180" t="s">
        <v>70</v>
      </c>
      <c r="X180">
        <v>2644000</v>
      </c>
      <c r="Y180">
        <v>0.09</v>
      </c>
      <c r="Z180">
        <v>27</v>
      </c>
      <c r="AA180" t="s">
        <v>140</v>
      </c>
      <c r="AB180" t="s">
        <v>38</v>
      </c>
      <c r="AC180" t="s">
        <v>54</v>
      </c>
      <c r="AD180">
        <v>19833.68</v>
      </c>
      <c r="AE180" t="b">
        <v>0</v>
      </c>
      <c r="AF180">
        <v>784988.41</v>
      </c>
    </row>
    <row r="181" spans="1:32" x14ac:dyDescent="0.3">
      <c r="A181" t="s">
        <v>483</v>
      </c>
      <c r="B181" t="s">
        <v>484</v>
      </c>
      <c r="C181" t="s">
        <v>42</v>
      </c>
      <c r="D181" t="s">
        <v>31</v>
      </c>
      <c r="E181">
        <v>1028100</v>
      </c>
      <c r="F181">
        <v>36</v>
      </c>
      <c r="G181">
        <v>14.28</v>
      </c>
      <c r="H181">
        <v>0</v>
      </c>
      <c r="I181">
        <v>0</v>
      </c>
      <c r="J181">
        <v>0</v>
      </c>
      <c r="K181">
        <v>67151.37</v>
      </c>
      <c r="L181">
        <v>1</v>
      </c>
      <c r="M181">
        <v>142117484.08000001</v>
      </c>
      <c r="N181" s="1">
        <v>45596</v>
      </c>
      <c r="O181" t="s">
        <v>32</v>
      </c>
      <c r="P181" t="s">
        <v>44</v>
      </c>
      <c r="Q181" s="1">
        <v>44442</v>
      </c>
      <c r="R181" t="s">
        <v>68</v>
      </c>
      <c r="S181" t="s">
        <v>69</v>
      </c>
      <c r="T181">
        <v>2021</v>
      </c>
      <c r="U181">
        <v>720</v>
      </c>
      <c r="V181">
        <v>728</v>
      </c>
      <c r="W181" t="s">
        <v>57</v>
      </c>
      <c r="X181">
        <v>1718000</v>
      </c>
      <c r="Y181">
        <v>0.24640000000000001</v>
      </c>
      <c r="Z181">
        <v>39</v>
      </c>
      <c r="AA181" t="s">
        <v>53</v>
      </c>
      <c r="AB181" t="s">
        <v>38</v>
      </c>
      <c r="AC181" t="s">
        <v>81</v>
      </c>
      <c r="AD181">
        <v>35278</v>
      </c>
      <c r="AE181" t="b">
        <v>0</v>
      </c>
      <c r="AF181">
        <v>624174.74</v>
      </c>
    </row>
    <row r="182" spans="1:32" x14ac:dyDescent="0.3">
      <c r="A182" t="s">
        <v>485</v>
      </c>
      <c r="B182" t="s">
        <v>486</v>
      </c>
      <c r="C182" t="s">
        <v>67</v>
      </c>
      <c r="D182" t="s">
        <v>31</v>
      </c>
      <c r="E182">
        <v>2439400</v>
      </c>
      <c r="F182">
        <v>72</v>
      </c>
      <c r="G182">
        <v>9.25</v>
      </c>
      <c r="H182">
        <v>2343538.3199999998</v>
      </c>
      <c r="I182">
        <v>64</v>
      </c>
      <c r="J182">
        <v>0</v>
      </c>
      <c r="K182">
        <v>0</v>
      </c>
      <c r="L182">
        <v>2</v>
      </c>
      <c r="M182">
        <v>142117484.08000001</v>
      </c>
      <c r="N182" s="1">
        <v>45596</v>
      </c>
      <c r="O182" t="s">
        <v>122</v>
      </c>
      <c r="P182" t="s">
        <v>50</v>
      </c>
      <c r="Q182" s="1">
        <v>45411</v>
      </c>
      <c r="R182" t="s">
        <v>68</v>
      </c>
      <c r="S182" t="s">
        <v>133</v>
      </c>
      <c r="T182">
        <v>2024</v>
      </c>
      <c r="U182">
        <v>720</v>
      </c>
      <c r="V182">
        <v>738</v>
      </c>
      <c r="W182" t="s">
        <v>57</v>
      </c>
      <c r="X182">
        <v>2063000</v>
      </c>
      <c r="Y182">
        <v>0.25750000000000001</v>
      </c>
      <c r="Z182">
        <v>46</v>
      </c>
      <c r="AA182" t="s">
        <v>233</v>
      </c>
      <c r="AB182" t="s">
        <v>38</v>
      </c>
      <c r="AC182" t="s">
        <v>39</v>
      </c>
      <c r="AD182">
        <v>44274.78</v>
      </c>
      <c r="AE182" t="b">
        <v>0</v>
      </c>
      <c r="AF182">
        <v>2599879.5299999998</v>
      </c>
    </row>
    <row r="183" spans="1:32" x14ac:dyDescent="0.3">
      <c r="A183" t="s">
        <v>487</v>
      </c>
      <c r="B183" t="s">
        <v>488</v>
      </c>
      <c r="C183" t="s">
        <v>30</v>
      </c>
      <c r="D183" t="s">
        <v>31</v>
      </c>
      <c r="E183">
        <v>1569400</v>
      </c>
      <c r="F183">
        <v>36</v>
      </c>
      <c r="G183">
        <v>8.3699999999999992</v>
      </c>
      <c r="H183">
        <v>583206.89</v>
      </c>
      <c r="I183">
        <v>21</v>
      </c>
      <c r="J183">
        <v>0</v>
      </c>
      <c r="K183">
        <v>0</v>
      </c>
      <c r="L183">
        <v>1</v>
      </c>
      <c r="M183">
        <v>142117484.08000001</v>
      </c>
      <c r="N183" s="1">
        <v>45596</v>
      </c>
      <c r="O183" t="s">
        <v>139</v>
      </c>
      <c r="P183" t="s">
        <v>44</v>
      </c>
      <c r="Q183" s="1">
        <v>44919</v>
      </c>
      <c r="R183" t="s">
        <v>85</v>
      </c>
      <c r="S183" t="s">
        <v>440</v>
      </c>
      <c r="T183">
        <v>2022</v>
      </c>
      <c r="U183">
        <v>721</v>
      </c>
      <c r="V183">
        <v>716</v>
      </c>
      <c r="W183" t="s">
        <v>57</v>
      </c>
      <c r="X183">
        <v>451000</v>
      </c>
      <c r="Y183">
        <v>1.3157000000000001</v>
      </c>
      <c r="Z183">
        <v>51</v>
      </c>
      <c r="AA183" t="s">
        <v>91</v>
      </c>
      <c r="AB183" t="s">
        <v>38</v>
      </c>
      <c r="AC183" t="s">
        <v>81</v>
      </c>
      <c r="AD183">
        <v>49447.61</v>
      </c>
      <c r="AE183" t="b">
        <v>0</v>
      </c>
      <c r="AF183">
        <v>1226388.29</v>
      </c>
    </row>
    <row r="184" spans="1:32" x14ac:dyDescent="0.3">
      <c r="A184" t="s">
        <v>489</v>
      </c>
      <c r="B184" t="s">
        <v>490</v>
      </c>
      <c r="C184" t="s">
        <v>67</v>
      </c>
      <c r="D184" t="s">
        <v>84</v>
      </c>
      <c r="E184">
        <v>924400</v>
      </c>
      <c r="F184">
        <v>48</v>
      </c>
      <c r="G184">
        <v>9.85</v>
      </c>
      <c r="H184">
        <v>580220.03</v>
      </c>
      <c r="I184">
        <v>0</v>
      </c>
      <c r="J184">
        <v>0</v>
      </c>
      <c r="K184">
        <v>0</v>
      </c>
      <c r="L184">
        <v>1</v>
      </c>
      <c r="M184">
        <v>142117484.08000001</v>
      </c>
      <c r="N184" s="1">
        <v>45596</v>
      </c>
      <c r="O184" t="s">
        <v>32</v>
      </c>
      <c r="P184" t="s">
        <v>50</v>
      </c>
      <c r="Q184" s="1">
        <v>45070</v>
      </c>
      <c r="R184" t="s">
        <v>171</v>
      </c>
      <c r="S184" t="s">
        <v>172</v>
      </c>
      <c r="T184">
        <v>2022</v>
      </c>
      <c r="U184">
        <v>721</v>
      </c>
      <c r="V184">
        <v>715</v>
      </c>
      <c r="W184" t="s">
        <v>57</v>
      </c>
      <c r="X184">
        <v>1100000</v>
      </c>
      <c r="Y184">
        <v>0.255</v>
      </c>
      <c r="Z184">
        <v>50</v>
      </c>
      <c r="AA184" t="s">
        <v>80</v>
      </c>
      <c r="AB184" t="s">
        <v>38</v>
      </c>
      <c r="AC184" t="s">
        <v>81</v>
      </c>
      <c r="AD184">
        <v>23378.639999999999</v>
      </c>
      <c r="AE184" t="b">
        <v>0</v>
      </c>
      <c r="AF184">
        <v>943940.04</v>
      </c>
    </row>
    <row r="185" spans="1:32" x14ac:dyDescent="0.3">
      <c r="A185" t="s">
        <v>491</v>
      </c>
      <c r="B185" t="s">
        <v>492</v>
      </c>
      <c r="C185" t="s">
        <v>103</v>
      </c>
      <c r="D185" t="s">
        <v>31</v>
      </c>
      <c r="E185">
        <v>2151300</v>
      </c>
      <c r="F185">
        <v>48</v>
      </c>
      <c r="G185">
        <v>9.07</v>
      </c>
      <c r="H185">
        <v>1669109.64</v>
      </c>
      <c r="I185">
        <v>0</v>
      </c>
      <c r="J185">
        <v>0</v>
      </c>
      <c r="K185">
        <v>0</v>
      </c>
      <c r="L185">
        <v>1</v>
      </c>
      <c r="M185">
        <v>142117484.08000001</v>
      </c>
      <c r="N185" s="1">
        <v>45596</v>
      </c>
      <c r="O185" t="s">
        <v>32</v>
      </c>
      <c r="P185" t="s">
        <v>74</v>
      </c>
      <c r="Q185" s="1">
        <v>45272</v>
      </c>
      <c r="R185" t="s">
        <v>51</v>
      </c>
      <c r="S185" t="s">
        <v>52</v>
      </c>
      <c r="T185">
        <v>2023</v>
      </c>
      <c r="U185">
        <v>721</v>
      </c>
      <c r="V185">
        <v>688</v>
      </c>
      <c r="W185" t="s">
        <v>63</v>
      </c>
      <c r="X185">
        <v>4728000</v>
      </c>
      <c r="Y185">
        <v>0.1361</v>
      </c>
      <c r="Z185">
        <v>24</v>
      </c>
      <c r="AA185" t="s">
        <v>104</v>
      </c>
      <c r="AB185" t="s">
        <v>38</v>
      </c>
      <c r="AC185" t="s">
        <v>54</v>
      </c>
      <c r="AD185">
        <v>53606.73</v>
      </c>
      <c r="AE185" t="b">
        <v>0</v>
      </c>
      <c r="AF185">
        <v>2446679.98</v>
      </c>
    </row>
    <row r="186" spans="1:32" x14ac:dyDescent="0.3">
      <c r="A186" t="s">
        <v>493</v>
      </c>
      <c r="B186" t="s">
        <v>494</v>
      </c>
      <c r="C186" t="s">
        <v>67</v>
      </c>
      <c r="D186" t="s">
        <v>31</v>
      </c>
      <c r="E186">
        <v>1275300</v>
      </c>
      <c r="F186">
        <v>36</v>
      </c>
      <c r="G186">
        <v>12.74</v>
      </c>
      <c r="H186">
        <v>312015.63</v>
      </c>
      <c r="I186">
        <v>0</v>
      </c>
      <c r="J186">
        <v>0</v>
      </c>
      <c r="K186">
        <v>0</v>
      </c>
      <c r="L186">
        <v>1</v>
      </c>
      <c r="M186">
        <v>142117484.08000001</v>
      </c>
      <c r="N186" s="1">
        <v>45596</v>
      </c>
      <c r="O186" t="s">
        <v>32</v>
      </c>
      <c r="P186" t="s">
        <v>44</v>
      </c>
      <c r="Q186" s="1">
        <v>44757</v>
      </c>
      <c r="R186" t="s">
        <v>85</v>
      </c>
      <c r="S186" t="s">
        <v>86</v>
      </c>
      <c r="T186">
        <v>2022</v>
      </c>
      <c r="U186">
        <v>721</v>
      </c>
      <c r="V186">
        <v>693</v>
      </c>
      <c r="W186" t="s">
        <v>57</v>
      </c>
      <c r="X186">
        <v>766000</v>
      </c>
      <c r="Y186">
        <v>0.67069999999999996</v>
      </c>
      <c r="Z186">
        <v>50</v>
      </c>
      <c r="AA186" t="s">
        <v>162</v>
      </c>
      <c r="AB186" t="s">
        <v>38</v>
      </c>
      <c r="AC186" t="s">
        <v>81</v>
      </c>
      <c r="AD186">
        <v>42810.36</v>
      </c>
      <c r="AE186" t="b">
        <v>0</v>
      </c>
      <c r="AF186">
        <v>1253193.56</v>
      </c>
    </row>
    <row r="187" spans="1:32" x14ac:dyDescent="0.3">
      <c r="A187" t="s">
        <v>495</v>
      </c>
      <c r="B187" t="s">
        <v>496</v>
      </c>
      <c r="C187" t="s">
        <v>98</v>
      </c>
      <c r="D187" t="s">
        <v>31</v>
      </c>
      <c r="E187">
        <v>767300</v>
      </c>
      <c r="F187">
        <v>48</v>
      </c>
      <c r="G187">
        <v>9.0299999999999994</v>
      </c>
      <c r="H187">
        <v>102333.83</v>
      </c>
      <c r="I187">
        <v>0</v>
      </c>
      <c r="J187">
        <v>0</v>
      </c>
      <c r="K187">
        <v>0</v>
      </c>
      <c r="L187">
        <v>1</v>
      </c>
      <c r="M187">
        <v>142117484.08000001</v>
      </c>
      <c r="N187" s="1">
        <v>45596</v>
      </c>
      <c r="O187" t="s">
        <v>32</v>
      </c>
      <c r="P187" t="s">
        <v>44</v>
      </c>
      <c r="Q187" s="1">
        <v>44345</v>
      </c>
      <c r="R187" t="s">
        <v>99</v>
      </c>
      <c r="S187" t="s">
        <v>497</v>
      </c>
      <c r="T187">
        <v>2021</v>
      </c>
      <c r="U187">
        <v>721</v>
      </c>
      <c r="V187">
        <v>746</v>
      </c>
      <c r="W187" t="s">
        <v>70</v>
      </c>
      <c r="X187">
        <v>865000</v>
      </c>
      <c r="Y187">
        <v>0.26500000000000001</v>
      </c>
      <c r="Z187">
        <v>25</v>
      </c>
      <c r="AA187" t="s">
        <v>80</v>
      </c>
      <c r="AB187" t="s">
        <v>38</v>
      </c>
      <c r="AC187" t="s">
        <v>54</v>
      </c>
      <c r="AD187">
        <v>19105.23</v>
      </c>
      <c r="AE187" t="b">
        <v>0</v>
      </c>
      <c r="AF187">
        <v>640153.41</v>
      </c>
    </row>
    <row r="188" spans="1:32" x14ac:dyDescent="0.3">
      <c r="A188" t="s">
        <v>498</v>
      </c>
      <c r="B188" t="s">
        <v>499</v>
      </c>
      <c r="C188" t="s">
        <v>103</v>
      </c>
      <c r="D188" t="s">
        <v>31</v>
      </c>
      <c r="E188">
        <v>1441600</v>
      </c>
      <c r="F188">
        <v>60</v>
      </c>
      <c r="G188">
        <v>8.84</v>
      </c>
      <c r="H188">
        <v>420633.5</v>
      </c>
      <c r="I188">
        <v>0</v>
      </c>
      <c r="J188">
        <v>0</v>
      </c>
      <c r="K188">
        <v>0</v>
      </c>
      <c r="L188">
        <v>1</v>
      </c>
      <c r="M188">
        <v>142117484.08000001</v>
      </c>
      <c r="N188" s="1">
        <v>45596</v>
      </c>
      <c r="O188" t="s">
        <v>32</v>
      </c>
      <c r="P188" t="s">
        <v>74</v>
      </c>
      <c r="Q188" s="1">
        <v>44283</v>
      </c>
      <c r="R188" t="s">
        <v>89</v>
      </c>
      <c r="S188" t="s">
        <v>189</v>
      </c>
      <c r="T188">
        <v>2021</v>
      </c>
      <c r="U188">
        <v>721</v>
      </c>
      <c r="V188">
        <v>708</v>
      </c>
      <c r="W188" t="s">
        <v>57</v>
      </c>
      <c r="X188">
        <v>1200000</v>
      </c>
      <c r="Y188">
        <v>0.29809999999999998</v>
      </c>
      <c r="Z188">
        <v>26</v>
      </c>
      <c r="AA188" t="s">
        <v>53</v>
      </c>
      <c r="AB188" t="s">
        <v>38</v>
      </c>
      <c r="AC188" t="s">
        <v>81</v>
      </c>
      <c r="AD188">
        <v>29813.42</v>
      </c>
      <c r="AE188" t="b">
        <v>0</v>
      </c>
      <c r="AF188">
        <v>913520.04</v>
      </c>
    </row>
    <row r="189" spans="1:32" x14ac:dyDescent="0.3">
      <c r="A189" t="s">
        <v>500</v>
      </c>
      <c r="B189" t="s">
        <v>501</v>
      </c>
      <c r="C189" t="s">
        <v>103</v>
      </c>
      <c r="D189" t="s">
        <v>31</v>
      </c>
      <c r="E189">
        <v>1608000</v>
      </c>
      <c r="F189">
        <v>84</v>
      </c>
      <c r="G189">
        <v>7.87</v>
      </c>
      <c r="H189">
        <v>1408968.67</v>
      </c>
      <c r="I189">
        <v>0</v>
      </c>
      <c r="J189">
        <v>0</v>
      </c>
      <c r="K189">
        <v>0</v>
      </c>
      <c r="L189">
        <v>1</v>
      </c>
      <c r="M189">
        <v>142117484.08000001</v>
      </c>
      <c r="N189" s="1">
        <v>45596</v>
      </c>
      <c r="O189" t="s">
        <v>32</v>
      </c>
      <c r="P189" t="s">
        <v>44</v>
      </c>
      <c r="Q189" s="1">
        <v>45270</v>
      </c>
      <c r="R189" t="s">
        <v>94</v>
      </c>
      <c r="S189" t="s">
        <v>95</v>
      </c>
      <c r="T189">
        <v>2023</v>
      </c>
      <c r="U189">
        <v>722</v>
      </c>
      <c r="V189">
        <v>704</v>
      </c>
      <c r="W189" t="s">
        <v>36</v>
      </c>
      <c r="X189">
        <v>3585000</v>
      </c>
      <c r="Y189">
        <v>8.3500000000000005E-2</v>
      </c>
      <c r="Z189">
        <v>26</v>
      </c>
      <c r="AA189" t="s">
        <v>53</v>
      </c>
      <c r="AB189" t="s">
        <v>38</v>
      </c>
      <c r="AC189" t="s">
        <v>81</v>
      </c>
      <c r="AD189">
        <v>24958.61</v>
      </c>
      <c r="AE189" t="b">
        <v>0</v>
      </c>
      <c r="AF189">
        <v>1492394.49</v>
      </c>
    </row>
    <row r="190" spans="1:32" x14ac:dyDescent="0.3">
      <c r="A190" t="s">
        <v>502</v>
      </c>
      <c r="B190" t="s">
        <v>503</v>
      </c>
      <c r="C190" t="s">
        <v>67</v>
      </c>
      <c r="D190" t="s">
        <v>31</v>
      </c>
      <c r="E190">
        <v>1195100</v>
      </c>
      <c r="F190">
        <v>84</v>
      </c>
      <c r="G190">
        <v>9.2100000000000009</v>
      </c>
      <c r="H190">
        <v>1056959.1000000001</v>
      </c>
      <c r="I190">
        <v>0</v>
      </c>
      <c r="J190">
        <v>0</v>
      </c>
      <c r="K190">
        <v>0</v>
      </c>
      <c r="L190">
        <v>1</v>
      </c>
      <c r="M190">
        <v>142117484.08000001</v>
      </c>
      <c r="N190" s="1">
        <v>45596</v>
      </c>
      <c r="O190" t="s">
        <v>32</v>
      </c>
      <c r="P190" t="s">
        <v>44</v>
      </c>
      <c r="Q190" s="1">
        <v>45526</v>
      </c>
      <c r="R190" t="s">
        <v>171</v>
      </c>
      <c r="S190" t="s">
        <v>381</v>
      </c>
      <c r="T190">
        <v>2024</v>
      </c>
      <c r="U190">
        <v>722</v>
      </c>
      <c r="V190">
        <v>675</v>
      </c>
      <c r="W190" t="s">
        <v>57</v>
      </c>
      <c r="X190">
        <v>1805000</v>
      </c>
      <c r="Y190">
        <v>0.12870000000000001</v>
      </c>
      <c r="Z190">
        <v>46</v>
      </c>
      <c r="AA190" t="s">
        <v>108</v>
      </c>
      <c r="AB190" t="s">
        <v>38</v>
      </c>
      <c r="AC190" t="s">
        <v>39</v>
      </c>
      <c r="AD190">
        <v>19355.669999999998</v>
      </c>
      <c r="AE190" t="b">
        <v>0</v>
      </c>
      <c r="AF190">
        <v>1509165.12</v>
      </c>
    </row>
    <row r="191" spans="1:32" x14ac:dyDescent="0.3">
      <c r="A191" t="s">
        <v>504</v>
      </c>
      <c r="B191" t="s">
        <v>505</v>
      </c>
      <c r="C191" t="s">
        <v>98</v>
      </c>
      <c r="D191" t="s">
        <v>31</v>
      </c>
      <c r="E191">
        <v>782600</v>
      </c>
      <c r="F191">
        <v>60</v>
      </c>
      <c r="G191">
        <v>10.28</v>
      </c>
      <c r="H191">
        <v>538731.11</v>
      </c>
      <c r="I191">
        <v>306</v>
      </c>
      <c r="J191">
        <v>0</v>
      </c>
      <c r="K191">
        <v>0</v>
      </c>
      <c r="L191">
        <v>3</v>
      </c>
      <c r="M191">
        <v>142117484.08000001</v>
      </c>
      <c r="N191" s="1">
        <v>45596</v>
      </c>
      <c r="O191" t="s">
        <v>260</v>
      </c>
      <c r="P191" t="s">
        <v>33</v>
      </c>
      <c r="Q191" s="1">
        <v>45004</v>
      </c>
      <c r="R191" t="s">
        <v>34</v>
      </c>
      <c r="S191" t="s">
        <v>145</v>
      </c>
      <c r="T191">
        <v>2023</v>
      </c>
      <c r="U191">
        <v>722</v>
      </c>
      <c r="V191">
        <v>716</v>
      </c>
      <c r="W191" t="s">
        <v>70</v>
      </c>
      <c r="X191">
        <v>2052000</v>
      </c>
      <c r="Y191">
        <v>9.7900000000000001E-2</v>
      </c>
      <c r="Z191">
        <v>46</v>
      </c>
      <c r="AA191" t="s">
        <v>233</v>
      </c>
      <c r="AB191" t="s">
        <v>38</v>
      </c>
      <c r="AC191" t="s">
        <v>81</v>
      </c>
      <c r="AD191">
        <v>16735.96</v>
      </c>
      <c r="AE191" t="b">
        <v>0</v>
      </c>
      <c r="AF191">
        <v>1059503.95</v>
      </c>
    </row>
    <row r="192" spans="1:32" x14ac:dyDescent="0.3">
      <c r="A192" t="s">
        <v>506</v>
      </c>
      <c r="B192" t="s">
        <v>507</v>
      </c>
      <c r="C192" t="s">
        <v>42</v>
      </c>
      <c r="D192" t="s">
        <v>43</v>
      </c>
      <c r="E192">
        <v>375000</v>
      </c>
      <c r="F192">
        <v>36</v>
      </c>
      <c r="G192">
        <v>13.04</v>
      </c>
      <c r="H192">
        <v>143956.4</v>
      </c>
      <c r="I192">
        <v>0</v>
      </c>
      <c r="J192">
        <v>0</v>
      </c>
      <c r="K192">
        <v>0</v>
      </c>
      <c r="L192">
        <v>1</v>
      </c>
      <c r="M192">
        <v>142117484.08000001</v>
      </c>
      <c r="N192" s="1">
        <v>45596</v>
      </c>
      <c r="O192" t="s">
        <v>32</v>
      </c>
      <c r="P192" t="s">
        <v>33</v>
      </c>
      <c r="Q192" s="1">
        <v>44953</v>
      </c>
      <c r="R192" t="s">
        <v>45</v>
      </c>
      <c r="S192" t="s">
        <v>107</v>
      </c>
      <c r="T192">
        <v>2021</v>
      </c>
      <c r="U192">
        <v>722</v>
      </c>
      <c r="V192">
        <v>699</v>
      </c>
      <c r="W192" t="s">
        <v>57</v>
      </c>
      <c r="X192">
        <v>1193000</v>
      </c>
      <c r="Y192">
        <v>0.12720000000000001</v>
      </c>
      <c r="Z192">
        <v>49</v>
      </c>
      <c r="AA192" t="s">
        <v>113</v>
      </c>
      <c r="AB192" t="s">
        <v>38</v>
      </c>
      <c r="AC192" t="s">
        <v>54</v>
      </c>
      <c r="AD192">
        <v>12642.46</v>
      </c>
      <c r="AE192" t="b">
        <v>0</v>
      </c>
      <c r="AF192">
        <v>417975.13</v>
      </c>
    </row>
    <row r="193" spans="1:32" x14ac:dyDescent="0.3">
      <c r="A193" t="s">
        <v>508</v>
      </c>
      <c r="B193" t="s">
        <v>509</v>
      </c>
      <c r="C193" t="s">
        <v>103</v>
      </c>
      <c r="D193" t="s">
        <v>31</v>
      </c>
      <c r="E193">
        <v>1262700</v>
      </c>
      <c r="F193">
        <v>84</v>
      </c>
      <c r="G193">
        <v>10.16</v>
      </c>
      <c r="H193">
        <v>1117470.1000000001</v>
      </c>
      <c r="I193">
        <v>0</v>
      </c>
      <c r="J193">
        <v>0</v>
      </c>
      <c r="K193">
        <v>0</v>
      </c>
      <c r="L193">
        <v>1</v>
      </c>
      <c r="M193">
        <v>142117484.08000001</v>
      </c>
      <c r="N193" s="1">
        <v>45596</v>
      </c>
      <c r="O193" t="s">
        <v>32</v>
      </c>
      <c r="P193" t="s">
        <v>74</v>
      </c>
      <c r="Q193" s="1">
        <v>45198</v>
      </c>
      <c r="R193" t="s">
        <v>61</v>
      </c>
      <c r="S193" t="s">
        <v>62</v>
      </c>
      <c r="T193">
        <v>2023</v>
      </c>
      <c r="U193">
        <v>723</v>
      </c>
      <c r="V193">
        <v>683</v>
      </c>
      <c r="W193" t="s">
        <v>63</v>
      </c>
      <c r="X193">
        <v>1665000</v>
      </c>
      <c r="Y193">
        <v>0.15179999999999999</v>
      </c>
      <c r="Z193">
        <v>45</v>
      </c>
      <c r="AA193" t="s">
        <v>233</v>
      </c>
      <c r="AB193" t="s">
        <v>38</v>
      </c>
      <c r="AC193" t="s">
        <v>54</v>
      </c>
      <c r="AD193">
        <v>21066.85</v>
      </c>
      <c r="AE193" t="b">
        <v>0</v>
      </c>
      <c r="AF193">
        <v>1211862.21</v>
      </c>
    </row>
    <row r="194" spans="1:32" x14ac:dyDescent="0.3">
      <c r="A194" t="s">
        <v>510</v>
      </c>
      <c r="B194" t="s">
        <v>511</v>
      </c>
      <c r="C194" t="s">
        <v>42</v>
      </c>
      <c r="D194" t="s">
        <v>31</v>
      </c>
      <c r="E194">
        <v>518100</v>
      </c>
      <c r="F194">
        <v>36</v>
      </c>
      <c r="G194">
        <v>10.73</v>
      </c>
      <c r="H194">
        <v>409388.48</v>
      </c>
      <c r="I194">
        <v>16</v>
      </c>
      <c r="J194">
        <v>0</v>
      </c>
      <c r="K194">
        <v>36801.550000000003</v>
      </c>
      <c r="L194">
        <v>1</v>
      </c>
      <c r="M194">
        <v>142117484.08000001</v>
      </c>
      <c r="N194" s="1">
        <v>45596</v>
      </c>
      <c r="O194" t="s">
        <v>139</v>
      </c>
      <c r="P194" t="s">
        <v>33</v>
      </c>
      <c r="Q194" s="1">
        <v>45443</v>
      </c>
      <c r="R194" t="s">
        <v>34</v>
      </c>
      <c r="S194" t="s">
        <v>123</v>
      </c>
      <c r="T194">
        <v>2024</v>
      </c>
      <c r="U194">
        <v>724</v>
      </c>
      <c r="V194">
        <v>739</v>
      </c>
      <c r="W194" t="s">
        <v>70</v>
      </c>
      <c r="X194">
        <v>4683000</v>
      </c>
      <c r="Y194">
        <v>4.3299999999999998E-2</v>
      </c>
      <c r="Z194">
        <v>31</v>
      </c>
      <c r="AA194" t="s">
        <v>233</v>
      </c>
      <c r="AB194" t="s">
        <v>38</v>
      </c>
      <c r="AC194" t="s">
        <v>81</v>
      </c>
      <c r="AD194">
        <v>16895.759999999998</v>
      </c>
      <c r="AE194" t="b">
        <v>0</v>
      </c>
      <c r="AF194">
        <v>826099.9</v>
      </c>
    </row>
    <row r="195" spans="1:32" x14ac:dyDescent="0.3">
      <c r="A195" t="s">
        <v>512</v>
      </c>
      <c r="B195" t="s">
        <v>513</v>
      </c>
      <c r="C195" t="s">
        <v>103</v>
      </c>
      <c r="D195" t="s">
        <v>43</v>
      </c>
      <c r="E195">
        <v>1516400</v>
      </c>
      <c r="F195">
        <v>84</v>
      </c>
      <c r="G195">
        <v>9.17</v>
      </c>
      <c r="H195">
        <v>1270986.33</v>
      </c>
      <c r="I195">
        <v>188</v>
      </c>
      <c r="J195">
        <v>0</v>
      </c>
      <c r="K195">
        <v>0</v>
      </c>
      <c r="L195">
        <v>3</v>
      </c>
      <c r="M195">
        <v>142117484.08000001</v>
      </c>
      <c r="N195" s="1">
        <v>45596</v>
      </c>
      <c r="O195" t="s">
        <v>260</v>
      </c>
      <c r="P195" t="s">
        <v>50</v>
      </c>
      <c r="Q195" s="1">
        <v>45240</v>
      </c>
      <c r="R195" t="s">
        <v>34</v>
      </c>
      <c r="S195" t="s">
        <v>145</v>
      </c>
      <c r="T195">
        <v>2018</v>
      </c>
      <c r="U195">
        <v>724</v>
      </c>
      <c r="V195">
        <v>718</v>
      </c>
      <c r="W195" t="s">
        <v>63</v>
      </c>
      <c r="X195">
        <v>4178000</v>
      </c>
      <c r="Y195">
        <v>7.0499999999999993E-2</v>
      </c>
      <c r="Z195">
        <v>46</v>
      </c>
      <c r="AA195" t="s">
        <v>113</v>
      </c>
      <c r="AB195" t="s">
        <v>38</v>
      </c>
      <c r="AC195" t="s">
        <v>39</v>
      </c>
      <c r="AD195">
        <v>24528.51</v>
      </c>
      <c r="AE195" t="b">
        <v>0</v>
      </c>
      <c r="AF195">
        <v>1363107.26</v>
      </c>
    </row>
    <row r="196" spans="1:32" x14ac:dyDescent="0.3">
      <c r="A196" t="s">
        <v>514</v>
      </c>
      <c r="B196" t="s">
        <v>515</v>
      </c>
      <c r="C196" t="s">
        <v>98</v>
      </c>
      <c r="D196" t="s">
        <v>31</v>
      </c>
      <c r="E196">
        <v>1410200</v>
      </c>
      <c r="F196">
        <v>84</v>
      </c>
      <c r="G196">
        <v>13.53</v>
      </c>
      <c r="H196">
        <v>1014259.22</v>
      </c>
      <c r="I196">
        <v>0</v>
      </c>
      <c r="J196">
        <v>0</v>
      </c>
      <c r="K196">
        <v>0</v>
      </c>
      <c r="L196">
        <v>1</v>
      </c>
      <c r="M196">
        <v>142117484.08000001</v>
      </c>
      <c r="N196" s="1">
        <v>45596</v>
      </c>
      <c r="O196" t="s">
        <v>32</v>
      </c>
      <c r="P196" t="s">
        <v>74</v>
      </c>
      <c r="Q196" s="1">
        <v>45061</v>
      </c>
      <c r="R196" t="s">
        <v>45</v>
      </c>
      <c r="S196" t="s">
        <v>46</v>
      </c>
      <c r="T196">
        <v>2023</v>
      </c>
      <c r="U196">
        <v>725</v>
      </c>
      <c r="V196">
        <v>730</v>
      </c>
      <c r="W196" t="s">
        <v>36</v>
      </c>
      <c r="X196">
        <v>2097000</v>
      </c>
      <c r="Y196">
        <v>0.14910000000000001</v>
      </c>
      <c r="Z196">
        <v>30</v>
      </c>
      <c r="AA196" t="s">
        <v>113</v>
      </c>
      <c r="AB196" t="s">
        <v>38</v>
      </c>
      <c r="AC196" t="s">
        <v>54</v>
      </c>
      <c r="AD196">
        <v>26062.38</v>
      </c>
      <c r="AE196" t="b">
        <v>0</v>
      </c>
      <c r="AF196">
        <v>1426358.11</v>
      </c>
    </row>
    <row r="197" spans="1:32" x14ac:dyDescent="0.3">
      <c r="A197" t="s">
        <v>516</v>
      </c>
      <c r="B197" t="s">
        <v>517</v>
      </c>
      <c r="C197" t="s">
        <v>98</v>
      </c>
      <c r="D197" t="s">
        <v>31</v>
      </c>
      <c r="E197">
        <v>936600</v>
      </c>
      <c r="F197">
        <v>36</v>
      </c>
      <c r="G197">
        <v>12.96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142117484.08000001</v>
      </c>
      <c r="N197" s="1">
        <v>45596</v>
      </c>
      <c r="O197" t="s">
        <v>32</v>
      </c>
      <c r="P197" t="s">
        <v>50</v>
      </c>
      <c r="Q197" s="1">
        <v>44202</v>
      </c>
      <c r="R197" t="s">
        <v>171</v>
      </c>
      <c r="S197" t="s">
        <v>381</v>
      </c>
      <c r="T197">
        <v>2021</v>
      </c>
      <c r="U197">
        <v>725</v>
      </c>
      <c r="V197">
        <v>708</v>
      </c>
      <c r="W197" t="s">
        <v>36</v>
      </c>
      <c r="X197">
        <v>2610000</v>
      </c>
      <c r="Y197">
        <v>0.14499999999999999</v>
      </c>
      <c r="Z197">
        <v>31</v>
      </c>
      <c r="AA197" t="s">
        <v>162</v>
      </c>
      <c r="AB197" t="s">
        <v>38</v>
      </c>
      <c r="AC197" t="s">
        <v>81</v>
      </c>
      <c r="AD197">
        <v>31539.71</v>
      </c>
      <c r="AE197" t="b">
        <v>0</v>
      </c>
      <c r="AF197">
        <v>720682.74</v>
      </c>
    </row>
    <row r="198" spans="1:32" x14ac:dyDescent="0.3">
      <c r="A198" t="s">
        <v>518</v>
      </c>
      <c r="B198" t="s">
        <v>519</v>
      </c>
      <c r="C198" t="s">
        <v>98</v>
      </c>
      <c r="D198" t="s">
        <v>31</v>
      </c>
      <c r="E198">
        <v>1533000</v>
      </c>
      <c r="F198">
        <v>72</v>
      </c>
      <c r="G198">
        <v>11.39</v>
      </c>
      <c r="H198">
        <v>907675.1</v>
      </c>
      <c r="I198">
        <v>0</v>
      </c>
      <c r="J198">
        <v>0</v>
      </c>
      <c r="K198">
        <v>0</v>
      </c>
      <c r="L198">
        <v>1</v>
      </c>
      <c r="M198">
        <v>142117484.08000001</v>
      </c>
      <c r="N198" s="1">
        <v>45596</v>
      </c>
      <c r="O198" t="s">
        <v>32</v>
      </c>
      <c r="P198" t="s">
        <v>33</v>
      </c>
      <c r="Q198" s="1">
        <v>44812</v>
      </c>
      <c r="R198" t="s">
        <v>51</v>
      </c>
      <c r="S198" t="s">
        <v>79</v>
      </c>
      <c r="T198">
        <v>2022</v>
      </c>
      <c r="U198">
        <v>726</v>
      </c>
      <c r="V198">
        <v>724</v>
      </c>
      <c r="W198" t="s">
        <v>36</v>
      </c>
      <c r="X198">
        <v>2396000</v>
      </c>
      <c r="Y198">
        <v>0.1477</v>
      </c>
      <c r="Z198">
        <v>48</v>
      </c>
      <c r="AA198" t="s">
        <v>226</v>
      </c>
      <c r="AB198" t="s">
        <v>38</v>
      </c>
      <c r="AC198" t="s">
        <v>39</v>
      </c>
      <c r="AD198">
        <v>29486.38</v>
      </c>
      <c r="AE198" t="b">
        <v>0</v>
      </c>
      <c r="AF198">
        <v>1248662.5900000001</v>
      </c>
    </row>
    <row r="199" spans="1:32" x14ac:dyDescent="0.3">
      <c r="A199" t="s">
        <v>520</v>
      </c>
      <c r="B199" t="s">
        <v>521</v>
      </c>
      <c r="C199" t="s">
        <v>30</v>
      </c>
      <c r="D199" t="s">
        <v>31</v>
      </c>
      <c r="E199">
        <v>1393800</v>
      </c>
      <c r="F199">
        <v>48</v>
      </c>
      <c r="G199">
        <v>9.4600000000000009</v>
      </c>
      <c r="H199">
        <v>298348.86</v>
      </c>
      <c r="I199">
        <v>230</v>
      </c>
      <c r="J199">
        <v>0</v>
      </c>
      <c r="K199">
        <v>0</v>
      </c>
      <c r="L199">
        <v>3</v>
      </c>
      <c r="M199">
        <v>142117484.08000001</v>
      </c>
      <c r="N199" s="1">
        <v>45596</v>
      </c>
      <c r="O199" t="s">
        <v>129</v>
      </c>
      <c r="P199" t="s">
        <v>74</v>
      </c>
      <c r="Q199" s="1">
        <v>44415</v>
      </c>
      <c r="R199" t="s">
        <v>171</v>
      </c>
      <c r="S199" t="s">
        <v>325</v>
      </c>
      <c r="T199">
        <v>2021</v>
      </c>
      <c r="U199">
        <v>726</v>
      </c>
      <c r="V199">
        <v>728</v>
      </c>
      <c r="W199" t="s">
        <v>36</v>
      </c>
      <c r="X199">
        <v>1957000</v>
      </c>
      <c r="Y199">
        <v>0.21460000000000001</v>
      </c>
      <c r="Z199">
        <v>58</v>
      </c>
      <c r="AA199" t="s">
        <v>140</v>
      </c>
      <c r="AB199" t="s">
        <v>38</v>
      </c>
      <c r="AC199" t="s">
        <v>81</v>
      </c>
      <c r="AD199">
        <v>34990.01</v>
      </c>
      <c r="AE199" t="b">
        <v>0</v>
      </c>
      <c r="AF199">
        <v>899897.76</v>
      </c>
    </row>
    <row r="200" spans="1:32" x14ac:dyDescent="0.3">
      <c r="A200" t="s">
        <v>522</v>
      </c>
      <c r="B200" t="s">
        <v>523</v>
      </c>
      <c r="C200" t="s">
        <v>67</v>
      </c>
      <c r="D200" t="s">
        <v>31</v>
      </c>
      <c r="E200">
        <v>2311200</v>
      </c>
      <c r="F200">
        <v>84</v>
      </c>
      <c r="G200">
        <v>13.02</v>
      </c>
      <c r="H200">
        <v>1564872.72</v>
      </c>
      <c r="I200">
        <v>0</v>
      </c>
      <c r="J200">
        <v>0</v>
      </c>
      <c r="K200">
        <v>100539.68</v>
      </c>
      <c r="L200">
        <v>1</v>
      </c>
      <c r="M200">
        <v>142117484.08000001</v>
      </c>
      <c r="N200" s="1">
        <v>45596</v>
      </c>
      <c r="O200" t="s">
        <v>32</v>
      </c>
      <c r="P200" t="s">
        <v>74</v>
      </c>
      <c r="Q200" s="1">
        <v>44769</v>
      </c>
      <c r="R200" t="s">
        <v>94</v>
      </c>
      <c r="S200" t="s">
        <v>95</v>
      </c>
      <c r="T200">
        <v>2022</v>
      </c>
      <c r="U200">
        <v>727</v>
      </c>
      <c r="V200">
        <v>687</v>
      </c>
      <c r="W200" t="s">
        <v>70</v>
      </c>
      <c r="X200">
        <v>3944000</v>
      </c>
      <c r="Y200">
        <v>0.128</v>
      </c>
      <c r="Z200">
        <v>46</v>
      </c>
      <c r="AA200" t="s">
        <v>197</v>
      </c>
      <c r="AB200" t="s">
        <v>38</v>
      </c>
      <c r="AC200" t="s">
        <v>39</v>
      </c>
      <c r="AD200">
        <v>42070.400000000001</v>
      </c>
      <c r="AE200" t="b">
        <v>0</v>
      </c>
      <c r="AF200">
        <v>1793411.84</v>
      </c>
    </row>
    <row r="201" spans="1:32" x14ac:dyDescent="0.3">
      <c r="A201" t="s">
        <v>524</v>
      </c>
      <c r="B201" t="s">
        <v>525</v>
      </c>
      <c r="C201" t="s">
        <v>67</v>
      </c>
      <c r="D201" t="s">
        <v>31</v>
      </c>
      <c r="E201">
        <v>2281900</v>
      </c>
      <c r="F201">
        <v>48</v>
      </c>
      <c r="G201">
        <v>8.5</v>
      </c>
      <c r="H201">
        <v>641035.15</v>
      </c>
      <c r="I201">
        <v>0</v>
      </c>
      <c r="J201">
        <v>0</v>
      </c>
      <c r="K201">
        <v>0</v>
      </c>
      <c r="L201">
        <v>1</v>
      </c>
      <c r="M201">
        <v>142117484.08000001</v>
      </c>
      <c r="N201" s="1">
        <v>45596</v>
      </c>
      <c r="O201" t="s">
        <v>32</v>
      </c>
      <c r="P201" t="s">
        <v>44</v>
      </c>
      <c r="Q201" s="1">
        <v>44511</v>
      </c>
      <c r="R201" t="s">
        <v>85</v>
      </c>
      <c r="S201" t="s">
        <v>130</v>
      </c>
      <c r="T201">
        <v>2021</v>
      </c>
      <c r="U201">
        <v>727</v>
      </c>
      <c r="V201">
        <v>678</v>
      </c>
      <c r="W201" t="s">
        <v>36</v>
      </c>
      <c r="X201">
        <v>784000</v>
      </c>
      <c r="Y201">
        <v>0.8609</v>
      </c>
      <c r="Z201">
        <v>48</v>
      </c>
      <c r="AA201" t="s">
        <v>58</v>
      </c>
      <c r="AB201" t="s">
        <v>38</v>
      </c>
      <c r="AC201" t="s">
        <v>81</v>
      </c>
      <c r="AD201">
        <v>56244.959999999999</v>
      </c>
      <c r="AE201" t="b">
        <v>0</v>
      </c>
      <c r="AF201">
        <v>1746250.13</v>
      </c>
    </row>
    <row r="202" spans="1:32" x14ac:dyDescent="0.3">
      <c r="A202" t="s">
        <v>526</v>
      </c>
      <c r="B202" t="s">
        <v>527</v>
      </c>
      <c r="C202" t="s">
        <v>103</v>
      </c>
      <c r="D202" t="s">
        <v>31</v>
      </c>
      <c r="E202">
        <v>2570600</v>
      </c>
      <c r="F202">
        <v>48</v>
      </c>
      <c r="G202">
        <v>10.39</v>
      </c>
      <c r="H202">
        <v>2125305.79</v>
      </c>
      <c r="I202">
        <v>0</v>
      </c>
      <c r="J202">
        <v>0</v>
      </c>
      <c r="K202">
        <v>0</v>
      </c>
      <c r="L202">
        <v>1</v>
      </c>
      <c r="M202">
        <v>142117484.08000001</v>
      </c>
      <c r="N202" s="1">
        <v>45596</v>
      </c>
      <c r="O202" t="s">
        <v>32</v>
      </c>
      <c r="P202" t="s">
        <v>50</v>
      </c>
      <c r="Q202" s="1">
        <v>45294</v>
      </c>
      <c r="R202" t="s">
        <v>85</v>
      </c>
      <c r="S202" t="s">
        <v>440</v>
      </c>
      <c r="T202">
        <v>2024</v>
      </c>
      <c r="U202">
        <v>728</v>
      </c>
      <c r="V202">
        <v>751</v>
      </c>
      <c r="W202" t="s">
        <v>36</v>
      </c>
      <c r="X202">
        <v>2729000</v>
      </c>
      <c r="Y202">
        <v>0.2888</v>
      </c>
      <c r="Z202">
        <v>33</v>
      </c>
      <c r="AA202" t="s">
        <v>126</v>
      </c>
      <c r="AB202" t="s">
        <v>38</v>
      </c>
      <c r="AC202" t="s">
        <v>39</v>
      </c>
      <c r="AD202">
        <v>65679.570000000007</v>
      </c>
      <c r="AE202" t="b">
        <v>0</v>
      </c>
      <c r="AF202">
        <v>3390630.32</v>
      </c>
    </row>
    <row r="203" spans="1:32" x14ac:dyDescent="0.3">
      <c r="A203" t="s">
        <v>528</v>
      </c>
      <c r="B203" t="s">
        <v>529</v>
      </c>
      <c r="C203" t="s">
        <v>67</v>
      </c>
      <c r="D203" t="s">
        <v>31</v>
      </c>
      <c r="E203">
        <v>1129000</v>
      </c>
      <c r="F203">
        <v>84</v>
      </c>
      <c r="G203">
        <v>12.05</v>
      </c>
      <c r="H203">
        <v>926047.67</v>
      </c>
      <c r="I203">
        <v>77</v>
      </c>
      <c r="J203">
        <v>0</v>
      </c>
      <c r="K203">
        <v>0</v>
      </c>
      <c r="L203">
        <v>2</v>
      </c>
      <c r="M203">
        <v>142117484.08000001</v>
      </c>
      <c r="N203" s="1">
        <v>45596</v>
      </c>
      <c r="O203" t="s">
        <v>122</v>
      </c>
      <c r="P203" t="s">
        <v>74</v>
      </c>
      <c r="Q203" s="1">
        <v>45273</v>
      </c>
      <c r="R203" t="s">
        <v>68</v>
      </c>
      <c r="S203" t="s">
        <v>205</v>
      </c>
      <c r="T203">
        <v>2023</v>
      </c>
      <c r="U203">
        <v>728</v>
      </c>
      <c r="V203">
        <v>732</v>
      </c>
      <c r="W203" t="s">
        <v>63</v>
      </c>
      <c r="X203">
        <v>2161000</v>
      </c>
      <c r="Y203">
        <v>0.1108</v>
      </c>
      <c r="Z203">
        <v>50</v>
      </c>
      <c r="AA203" t="s">
        <v>80</v>
      </c>
      <c r="AB203" t="s">
        <v>38</v>
      </c>
      <c r="AC203" t="s">
        <v>54</v>
      </c>
      <c r="AD203">
        <v>19960.14</v>
      </c>
      <c r="AE203" t="b">
        <v>0</v>
      </c>
      <c r="AF203">
        <v>1270549.3400000001</v>
      </c>
    </row>
    <row r="204" spans="1:32" x14ac:dyDescent="0.3">
      <c r="A204" t="s">
        <v>530</v>
      </c>
      <c r="B204" t="s">
        <v>531</v>
      </c>
      <c r="C204" t="s">
        <v>30</v>
      </c>
      <c r="D204" t="s">
        <v>31</v>
      </c>
      <c r="E204">
        <v>893600</v>
      </c>
      <c r="F204">
        <v>48</v>
      </c>
      <c r="G204">
        <v>9.7799999999999994</v>
      </c>
      <c r="H204">
        <v>550888.93000000005</v>
      </c>
      <c r="I204">
        <v>0</v>
      </c>
      <c r="J204">
        <v>0</v>
      </c>
      <c r="K204">
        <v>0</v>
      </c>
      <c r="L204">
        <v>1</v>
      </c>
      <c r="M204">
        <v>142117484.08000001</v>
      </c>
      <c r="N204" s="1">
        <v>45596</v>
      </c>
      <c r="O204" t="s">
        <v>32</v>
      </c>
      <c r="P204" t="s">
        <v>74</v>
      </c>
      <c r="Q204" s="1">
        <v>45071</v>
      </c>
      <c r="R204" t="s">
        <v>61</v>
      </c>
      <c r="S204" t="s">
        <v>210</v>
      </c>
      <c r="T204">
        <v>2023</v>
      </c>
      <c r="U204">
        <v>728</v>
      </c>
      <c r="V204">
        <v>712</v>
      </c>
      <c r="W204" t="s">
        <v>63</v>
      </c>
      <c r="X204">
        <v>1805000</v>
      </c>
      <c r="Y204">
        <v>0.15</v>
      </c>
      <c r="Z204">
        <v>59</v>
      </c>
      <c r="AA204" t="s">
        <v>162</v>
      </c>
      <c r="AB204" t="s">
        <v>38</v>
      </c>
      <c r="AC204" t="s">
        <v>81</v>
      </c>
      <c r="AD204">
        <v>22569.71</v>
      </c>
      <c r="AE204" t="b">
        <v>0</v>
      </c>
      <c r="AF204">
        <v>1023807.67</v>
      </c>
    </row>
    <row r="205" spans="1:32" x14ac:dyDescent="0.3">
      <c r="A205" t="s">
        <v>532</v>
      </c>
      <c r="B205" t="s">
        <v>533</v>
      </c>
      <c r="C205" t="s">
        <v>103</v>
      </c>
      <c r="D205" t="s">
        <v>31</v>
      </c>
      <c r="E205">
        <v>1970200</v>
      </c>
      <c r="F205">
        <v>60</v>
      </c>
      <c r="G205">
        <v>9.0299999999999994</v>
      </c>
      <c r="H205">
        <v>1615943.24</v>
      </c>
      <c r="I205">
        <v>0</v>
      </c>
      <c r="J205">
        <v>0</v>
      </c>
      <c r="K205">
        <v>0</v>
      </c>
      <c r="L205">
        <v>1</v>
      </c>
      <c r="M205">
        <v>142117484.08000001</v>
      </c>
      <c r="N205" s="1">
        <v>45596</v>
      </c>
      <c r="O205" t="s">
        <v>32</v>
      </c>
      <c r="P205" t="s">
        <v>74</v>
      </c>
      <c r="Q205" s="1">
        <v>45356</v>
      </c>
      <c r="R205" t="s">
        <v>171</v>
      </c>
      <c r="S205" t="s">
        <v>435</v>
      </c>
      <c r="T205">
        <v>2024</v>
      </c>
      <c r="U205">
        <v>729</v>
      </c>
      <c r="V205">
        <v>735</v>
      </c>
      <c r="W205" t="s">
        <v>57</v>
      </c>
      <c r="X205">
        <v>2080000</v>
      </c>
      <c r="Y205">
        <v>0.2361</v>
      </c>
      <c r="Z205">
        <v>30</v>
      </c>
      <c r="AA205" t="s">
        <v>197</v>
      </c>
      <c r="AB205" t="s">
        <v>38</v>
      </c>
      <c r="AC205" t="s">
        <v>54</v>
      </c>
      <c r="AD205">
        <v>40926.800000000003</v>
      </c>
      <c r="AE205" t="b">
        <v>0</v>
      </c>
      <c r="AF205">
        <v>2782586.2</v>
      </c>
    </row>
    <row r="206" spans="1:32" x14ac:dyDescent="0.3">
      <c r="A206" t="s">
        <v>534</v>
      </c>
      <c r="B206" t="s">
        <v>535</v>
      </c>
      <c r="C206" t="s">
        <v>98</v>
      </c>
      <c r="D206" t="s">
        <v>31</v>
      </c>
      <c r="E206">
        <v>850500</v>
      </c>
      <c r="F206">
        <v>60</v>
      </c>
      <c r="G206">
        <v>11.35</v>
      </c>
      <c r="H206">
        <v>440016.21</v>
      </c>
      <c r="I206">
        <v>0</v>
      </c>
      <c r="J206">
        <v>0</v>
      </c>
      <c r="K206">
        <v>0</v>
      </c>
      <c r="L206">
        <v>1</v>
      </c>
      <c r="M206">
        <v>142117484.08000001</v>
      </c>
      <c r="N206" s="1">
        <v>45596</v>
      </c>
      <c r="O206" t="s">
        <v>32</v>
      </c>
      <c r="P206" t="s">
        <v>33</v>
      </c>
      <c r="Q206" s="1">
        <v>44757</v>
      </c>
      <c r="R206" t="s">
        <v>99</v>
      </c>
      <c r="S206" t="s">
        <v>100</v>
      </c>
      <c r="T206">
        <v>2022</v>
      </c>
      <c r="U206">
        <v>729</v>
      </c>
      <c r="V206">
        <v>757</v>
      </c>
      <c r="W206" t="s">
        <v>63</v>
      </c>
      <c r="X206">
        <v>1105000</v>
      </c>
      <c r="Y206">
        <v>0.2024</v>
      </c>
      <c r="Z206">
        <v>42</v>
      </c>
      <c r="AA206" t="s">
        <v>126</v>
      </c>
      <c r="AB206" t="s">
        <v>38</v>
      </c>
      <c r="AC206" t="s">
        <v>39</v>
      </c>
      <c r="AD206">
        <v>18640.73</v>
      </c>
      <c r="AE206" t="b">
        <v>0</v>
      </c>
      <c r="AF206">
        <v>826464.09</v>
      </c>
    </row>
    <row r="207" spans="1:32" x14ac:dyDescent="0.3">
      <c r="A207" t="s">
        <v>536</v>
      </c>
      <c r="B207" t="s">
        <v>537</v>
      </c>
      <c r="C207" t="s">
        <v>98</v>
      </c>
      <c r="D207" t="s">
        <v>31</v>
      </c>
      <c r="E207">
        <v>694600</v>
      </c>
      <c r="F207">
        <v>72</v>
      </c>
      <c r="G207">
        <v>13.13</v>
      </c>
      <c r="H207">
        <v>315689.53999999998</v>
      </c>
      <c r="I207">
        <v>0</v>
      </c>
      <c r="J207">
        <v>0</v>
      </c>
      <c r="K207">
        <v>0</v>
      </c>
      <c r="L207">
        <v>1</v>
      </c>
      <c r="M207">
        <v>142117484.08000001</v>
      </c>
      <c r="N207" s="1">
        <v>45596</v>
      </c>
      <c r="O207" t="s">
        <v>32</v>
      </c>
      <c r="P207" t="s">
        <v>50</v>
      </c>
      <c r="Q207" s="1">
        <v>44414</v>
      </c>
      <c r="R207" t="s">
        <v>99</v>
      </c>
      <c r="S207" t="s">
        <v>200</v>
      </c>
      <c r="T207">
        <v>2021</v>
      </c>
      <c r="U207">
        <v>729</v>
      </c>
      <c r="V207">
        <v>758</v>
      </c>
      <c r="W207" t="s">
        <v>63</v>
      </c>
      <c r="X207">
        <v>1891000</v>
      </c>
      <c r="Y207">
        <v>8.8800000000000004E-2</v>
      </c>
      <c r="Z207">
        <v>44</v>
      </c>
      <c r="AA207" t="s">
        <v>162</v>
      </c>
      <c r="AB207" t="s">
        <v>38</v>
      </c>
      <c r="AC207" t="s">
        <v>81</v>
      </c>
      <c r="AD207">
        <v>13991.18</v>
      </c>
      <c r="AE207" t="b">
        <v>0</v>
      </c>
      <c r="AF207">
        <v>585558.18999999994</v>
      </c>
    </row>
    <row r="208" spans="1:32" x14ac:dyDescent="0.3">
      <c r="A208" t="s">
        <v>538</v>
      </c>
      <c r="B208" t="s">
        <v>539</v>
      </c>
      <c r="C208" t="s">
        <v>103</v>
      </c>
      <c r="D208" t="s">
        <v>31</v>
      </c>
      <c r="E208">
        <v>882100</v>
      </c>
      <c r="F208">
        <v>60</v>
      </c>
      <c r="G208">
        <v>10.41</v>
      </c>
      <c r="H208">
        <v>243669.7</v>
      </c>
      <c r="I208">
        <v>0</v>
      </c>
      <c r="J208">
        <v>0</v>
      </c>
      <c r="K208">
        <v>0</v>
      </c>
      <c r="L208">
        <v>1</v>
      </c>
      <c r="M208">
        <v>142117484.08000001</v>
      </c>
      <c r="N208" s="1">
        <v>45596</v>
      </c>
      <c r="O208" t="s">
        <v>32</v>
      </c>
      <c r="P208" t="s">
        <v>44</v>
      </c>
      <c r="Q208" s="1">
        <v>44239</v>
      </c>
      <c r="R208" t="s">
        <v>99</v>
      </c>
      <c r="S208" t="s">
        <v>157</v>
      </c>
      <c r="T208">
        <v>2021</v>
      </c>
      <c r="U208">
        <v>729</v>
      </c>
      <c r="V208">
        <v>748</v>
      </c>
      <c r="W208" t="s">
        <v>36</v>
      </c>
      <c r="X208">
        <v>4700000</v>
      </c>
      <c r="Y208">
        <v>4.8300000000000003E-2</v>
      </c>
      <c r="Z208">
        <v>35</v>
      </c>
      <c r="AA208" t="s">
        <v>53</v>
      </c>
      <c r="AB208" t="s">
        <v>38</v>
      </c>
      <c r="AC208" t="s">
        <v>81</v>
      </c>
      <c r="AD208">
        <v>18920.47</v>
      </c>
      <c r="AE208" t="b">
        <v>0</v>
      </c>
      <c r="AF208">
        <v>590607.92000000004</v>
      </c>
    </row>
    <row r="209" spans="1:32" x14ac:dyDescent="0.3">
      <c r="A209" t="s">
        <v>540</v>
      </c>
      <c r="B209" t="s">
        <v>541</v>
      </c>
      <c r="C209" t="s">
        <v>98</v>
      </c>
      <c r="D209" t="s">
        <v>31</v>
      </c>
      <c r="E209">
        <v>1168800</v>
      </c>
      <c r="F209">
        <v>36</v>
      </c>
      <c r="G209">
        <v>9.3699999999999992</v>
      </c>
      <c r="H209">
        <v>186155.77</v>
      </c>
      <c r="I209">
        <v>0</v>
      </c>
      <c r="J209">
        <v>0</v>
      </c>
      <c r="K209">
        <v>0</v>
      </c>
      <c r="L209">
        <v>1</v>
      </c>
      <c r="M209">
        <v>142117484.08000001</v>
      </c>
      <c r="N209" s="1">
        <v>45596</v>
      </c>
      <c r="O209" t="s">
        <v>32</v>
      </c>
      <c r="P209" t="s">
        <v>44</v>
      </c>
      <c r="Q209" s="1">
        <v>44677</v>
      </c>
      <c r="R209" t="s">
        <v>68</v>
      </c>
      <c r="S209" t="s">
        <v>69</v>
      </c>
      <c r="T209">
        <v>2022</v>
      </c>
      <c r="U209">
        <v>729</v>
      </c>
      <c r="V209">
        <v>730</v>
      </c>
      <c r="W209" t="s">
        <v>36</v>
      </c>
      <c r="X209">
        <v>2873000</v>
      </c>
      <c r="Y209">
        <v>0.15609999999999999</v>
      </c>
      <c r="Z209">
        <v>30</v>
      </c>
      <c r="AA209" t="s">
        <v>140</v>
      </c>
      <c r="AB209" t="s">
        <v>38</v>
      </c>
      <c r="AC209" t="s">
        <v>54</v>
      </c>
      <c r="AD209">
        <v>37369.120000000003</v>
      </c>
      <c r="AE209" t="b">
        <v>0</v>
      </c>
      <c r="AF209">
        <v>818007.85</v>
      </c>
    </row>
    <row r="210" spans="1:32" x14ac:dyDescent="0.3">
      <c r="A210" t="s">
        <v>542</v>
      </c>
      <c r="B210" t="s">
        <v>543</v>
      </c>
      <c r="C210" t="s">
        <v>67</v>
      </c>
      <c r="D210" t="s">
        <v>31</v>
      </c>
      <c r="E210">
        <v>490300</v>
      </c>
      <c r="F210">
        <v>60</v>
      </c>
      <c r="G210">
        <v>11.67</v>
      </c>
      <c r="H210">
        <v>255646.71</v>
      </c>
      <c r="I210">
        <v>0</v>
      </c>
      <c r="J210">
        <v>0</v>
      </c>
      <c r="K210">
        <v>0</v>
      </c>
      <c r="L210">
        <v>1</v>
      </c>
      <c r="M210">
        <v>142117484.08000001</v>
      </c>
      <c r="N210" s="1">
        <v>45596</v>
      </c>
      <c r="O210" t="s">
        <v>32</v>
      </c>
      <c r="P210" t="s">
        <v>74</v>
      </c>
      <c r="Q210" s="1">
        <v>44717</v>
      </c>
      <c r="R210" t="s">
        <v>61</v>
      </c>
      <c r="S210" t="s">
        <v>62</v>
      </c>
      <c r="T210">
        <v>2022</v>
      </c>
      <c r="U210">
        <v>730</v>
      </c>
      <c r="V210">
        <v>682</v>
      </c>
      <c r="W210" t="s">
        <v>36</v>
      </c>
      <c r="X210">
        <v>1545000</v>
      </c>
      <c r="Y210">
        <v>8.4099999999999994E-2</v>
      </c>
      <c r="Z210">
        <v>24</v>
      </c>
      <c r="AA210" t="s">
        <v>126</v>
      </c>
      <c r="AB210" t="s">
        <v>38</v>
      </c>
      <c r="AC210" t="s">
        <v>39</v>
      </c>
      <c r="AD210">
        <v>10824.87</v>
      </c>
      <c r="AE210" t="b">
        <v>0</v>
      </c>
      <c r="AF210">
        <v>556783.53</v>
      </c>
    </row>
    <row r="211" spans="1:32" x14ac:dyDescent="0.3">
      <c r="A211" t="s">
        <v>544</v>
      </c>
      <c r="B211" t="s">
        <v>545</v>
      </c>
      <c r="C211" t="s">
        <v>67</v>
      </c>
      <c r="D211" t="s">
        <v>31</v>
      </c>
      <c r="E211">
        <v>1710300</v>
      </c>
      <c r="F211">
        <v>48</v>
      </c>
      <c r="G211">
        <v>12.64</v>
      </c>
      <c r="H211">
        <v>739508.12</v>
      </c>
      <c r="I211">
        <v>1</v>
      </c>
      <c r="J211">
        <v>0</v>
      </c>
      <c r="K211">
        <v>0</v>
      </c>
      <c r="L211">
        <v>1</v>
      </c>
      <c r="M211">
        <v>142117484.08000001</v>
      </c>
      <c r="N211" s="1">
        <v>45596</v>
      </c>
      <c r="O211" t="s">
        <v>139</v>
      </c>
      <c r="P211" t="s">
        <v>44</v>
      </c>
      <c r="Q211" s="1">
        <v>44743</v>
      </c>
      <c r="R211" t="s">
        <v>99</v>
      </c>
      <c r="S211" t="s">
        <v>200</v>
      </c>
      <c r="T211">
        <v>2022</v>
      </c>
      <c r="U211">
        <v>730</v>
      </c>
      <c r="V211">
        <v>750</v>
      </c>
      <c r="W211" t="s">
        <v>36</v>
      </c>
      <c r="X211">
        <v>4970000</v>
      </c>
      <c r="Y211">
        <v>0.11</v>
      </c>
      <c r="Z211">
        <v>57</v>
      </c>
      <c r="AA211" t="s">
        <v>140</v>
      </c>
      <c r="AB211" t="s">
        <v>38</v>
      </c>
      <c r="AC211" t="s">
        <v>81</v>
      </c>
      <c r="AD211">
        <v>45578.06</v>
      </c>
      <c r="AE211" t="b">
        <v>0</v>
      </c>
      <c r="AF211">
        <v>1439949.44</v>
      </c>
    </row>
    <row r="212" spans="1:32" x14ac:dyDescent="0.3">
      <c r="A212" t="s">
        <v>546</v>
      </c>
      <c r="B212" t="s">
        <v>547</v>
      </c>
      <c r="C212" t="s">
        <v>42</v>
      </c>
      <c r="D212" t="s">
        <v>43</v>
      </c>
      <c r="E212">
        <v>411200</v>
      </c>
      <c r="F212">
        <v>72</v>
      </c>
      <c r="G212">
        <v>10.81</v>
      </c>
      <c r="H212">
        <v>146575.5</v>
      </c>
      <c r="I212">
        <v>0</v>
      </c>
      <c r="J212">
        <v>0</v>
      </c>
      <c r="K212">
        <v>0</v>
      </c>
      <c r="L212">
        <v>1</v>
      </c>
      <c r="M212">
        <v>142117484.08000001</v>
      </c>
      <c r="N212" s="1">
        <v>45596</v>
      </c>
      <c r="O212" t="s">
        <v>32</v>
      </c>
      <c r="P212" t="s">
        <v>33</v>
      </c>
      <c r="Q212" s="1">
        <v>44211</v>
      </c>
      <c r="R212" t="s">
        <v>45</v>
      </c>
      <c r="S212" t="s">
        <v>46</v>
      </c>
      <c r="T212">
        <v>2016</v>
      </c>
      <c r="U212">
        <v>730</v>
      </c>
      <c r="V212">
        <v>710</v>
      </c>
      <c r="W212" t="s">
        <v>36</v>
      </c>
      <c r="X212">
        <v>2110000</v>
      </c>
      <c r="Y212">
        <v>4.4299999999999999E-2</v>
      </c>
      <c r="Z212">
        <v>46</v>
      </c>
      <c r="AA212" t="s">
        <v>126</v>
      </c>
      <c r="AB212" t="s">
        <v>38</v>
      </c>
      <c r="AC212" t="s">
        <v>54</v>
      </c>
      <c r="AD212">
        <v>7786.86</v>
      </c>
      <c r="AE212" t="b">
        <v>0</v>
      </c>
      <c r="AF212">
        <v>196626.15</v>
      </c>
    </row>
    <row r="213" spans="1:32" x14ac:dyDescent="0.3">
      <c r="A213" t="s">
        <v>548</v>
      </c>
      <c r="B213" t="s">
        <v>549</v>
      </c>
      <c r="C213" t="s">
        <v>30</v>
      </c>
      <c r="D213" t="s">
        <v>31</v>
      </c>
      <c r="E213">
        <v>1139700</v>
      </c>
      <c r="F213">
        <v>48</v>
      </c>
      <c r="G213">
        <v>7.53</v>
      </c>
      <c r="H213">
        <v>746962.61</v>
      </c>
      <c r="I213">
        <v>20</v>
      </c>
      <c r="J213">
        <v>0</v>
      </c>
      <c r="K213">
        <v>0</v>
      </c>
      <c r="L213">
        <v>1</v>
      </c>
      <c r="M213">
        <v>142117484.08000001</v>
      </c>
      <c r="N213" s="1">
        <v>45596</v>
      </c>
      <c r="O213" t="s">
        <v>139</v>
      </c>
      <c r="P213" t="s">
        <v>74</v>
      </c>
      <c r="Q213" s="1">
        <v>45134</v>
      </c>
      <c r="R213" t="s">
        <v>85</v>
      </c>
      <c r="S213" t="s">
        <v>130</v>
      </c>
      <c r="T213">
        <v>2023</v>
      </c>
      <c r="U213">
        <v>730</v>
      </c>
      <c r="V213">
        <v>739</v>
      </c>
      <c r="W213" t="s">
        <v>36</v>
      </c>
      <c r="X213">
        <v>4285000</v>
      </c>
      <c r="Y213">
        <v>7.7200000000000005E-2</v>
      </c>
      <c r="Z213">
        <v>46</v>
      </c>
      <c r="AA213" t="s">
        <v>64</v>
      </c>
      <c r="AB213" t="s">
        <v>38</v>
      </c>
      <c r="AC213" t="s">
        <v>54</v>
      </c>
      <c r="AD213">
        <v>27572.65</v>
      </c>
      <c r="AE213" t="b">
        <v>0</v>
      </c>
      <c r="AF213">
        <v>1384557.89</v>
      </c>
    </row>
    <row r="214" spans="1:32" x14ac:dyDescent="0.3">
      <c r="A214" t="s">
        <v>550</v>
      </c>
      <c r="B214" t="s">
        <v>551</v>
      </c>
      <c r="C214" t="s">
        <v>67</v>
      </c>
      <c r="D214" t="s">
        <v>43</v>
      </c>
      <c r="E214">
        <v>1561500</v>
      </c>
      <c r="F214">
        <v>36</v>
      </c>
      <c r="G214">
        <v>13.01</v>
      </c>
      <c r="H214">
        <v>1448939.06</v>
      </c>
      <c r="I214">
        <v>0</v>
      </c>
      <c r="J214">
        <v>0</v>
      </c>
      <c r="K214">
        <v>0</v>
      </c>
      <c r="L214">
        <v>1</v>
      </c>
      <c r="M214">
        <v>142117484.08000001</v>
      </c>
      <c r="N214" s="1">
        <v>45596</v>
      </c>
      <c r="O214" t="s">
        <v>32</v>
      </c>
      <c r="P214" t="s">
        <v>33</v>
      </c>
      <c r="Q214" s="1">
        <v>45501</v>
      </c>
      <c r="R214" t="s">
        <v>45</v>
      </c>
      <c r="S214" t="s">
        <v>46</v>
      </c>
      <c r="T214">
        <v>2022</v>
      </c>
      <c r="U214">
        <v>730</v>
      </c>
      <c r="V214">
        <v>728</v>
      </c>
      <c r="W214" t="s">
        <v>63</v>
      </c>
      <c r="X214">
        <v>4945000</v>
      </c>
      <c r="Y214">
        <v>0.12770000000000001</v>
      </c>
      <c r="Z214">
        <v>23</v>
      </c>
      <c r="AA214" t="s">
        <v>197</v>
      </c>
      <c r="AB214" t="s">
        <v>38</v>
      </c>
      <c r="AC214" t="s">
        <v>54</v>
      </c>
      <c r="AD214">
        <v>52620.63</v>
      </c>
      <c r="AE214" t="b">
        <v>0</v>
      </c>
      <c r="AF214">
        <v>1657695.74</v>
      </c>
    </row>
    <row r="215" spans="1:32" x14ac:dyDescent="0.3">
      <c r="A215" t="s">
        <v>552</v>
      </c>
      <c r="B215" t="s">
        <v>553</v>
      </c>
      <c r="C215" t="s">
        <v>42</v>
      </c>
      <c r="D215" t="s">
        <v>31</v>
      </c>
      <c r="E215">
        <v>482600</v>
      </c>
      <c r="F215">
        <v>72</v>
      </c>
      <c r="G215">
        <v>9.39</v>
      </c>
      <c r="H215">
        <v>179909.08</v>
      </c>
      <c r="I215">
        <v>0</v>
      </c>
      <c r="J215">
        <v>0</v>
      </c>
      <c r="K215">
        <v>0</v>
      </c>
      <c r="L215">
        <v>1</v>
      </c>
      <c r="M215">
        <v>142117484.08000001</v>
      </c>
      <c r="N215" s="1">
        <v>45596</v>
      </c>
      <c r="O215" t="s">
        <v>32</v>
      </c>
      <c r="P215" t="s">
        <v>74</v>
      </c>
      <c r="Q215" s="1">
        <v>44285</v>
      </c>
      <c r="R215" t="s">
        <v>99</v>
      </c>
      <c r="S215" t="s">
        <v>100</v>
      </c>
      <c r="T215">
        <v>2021</v>
      </c>
      <c r="U215">
        <v>731</v>
      </c>
      <c r="V215">
        <v>699</v>
      </c>
      <c r="W215" t="s">
        <v>70</v>
      </c>
      <c r="X215">
        <v>864000</v>
      </c>
      <c r="Y215">
        <v>0.1221</v>
      </c>
      <c r="Z215">
        <v>62</v>
      </c>
      <c r="AA215" t="s">
        <v>108</v>
      </c>
      <c r="AB215" t="s">
        <v>38</v>
      </c>
      <c r="AC215" t="s">
        <v>81</v>
      </c>
      <c r="AD215">
        <v>8792.83</v>
      </c>
      <c r="AE215" t="b">
        <v>0</v>
      </c>
      <c r="AF215">
        <v>286677.26</v>
      </c>
    </row>
    <row r="216" spans="1:32" x14ac:dyDescent="0.3">
      <c r="A216" t="s">
        <v>554</v>
      </c>
      <c r="B216" t="s">
        <v>555</v>
      </c>
      <c r="C216" t="s">
        <v>103</v>
      </c>
      <c r="D216" t="s">
        <v>31</v>
      </c>
      <c r="E216">
        <v>1061200</v>
      </c>
      <c r="F216">
        <v>48</v>
      </c>
      <c r="G216">
        <v>9.81</v>
      </c>
      <c r="H216">
        <v>799124.23</v>
      </c>
      <c r="I216">
        <v>0</v>
      </c>
      <c r="J216">
        <v>0</v>
      </c>
      <c r="K216">
        <v>0</v>
      </c>
      <c r="L216">
        <v>1</v>
      </c>
      <c r="M216">
        <v>142117484.08000001</v>
      </c>
      <c r="N216" s="1">
        <v>45596</v>
      </c>
      <c r="O216" t="s">
        <v>32</v>
      </c>
      <c r="P216" t="s">
        <v>33</v>
      </c>
      <c r="Q216" s="1">
        <v>45204</v>
      </c>
      <c r="R216" t="s">
        <v>99</v>
      </c>
      <c r="S216" t="s">
        <v>219</v>
      </c>
      <c r="T216">
        <v>2023</v>
      </c>
      <c r="U216">
        <v>732</v>
      </c>
      <c r="V216">
        <v>696</v>
      </c>
      <c r="W216" t="s">
        <v>57</v>
      </c>
      <c r="X216">
        <v>1218000</v>
      </c>
      <c r="Y216">
        <v>0.26419999999999999</v>
      </c>
      <c r="Z216">
        <v>48</v>
      </c>
      <c r="AA216" t="s">
        <v>162</v>
      </c>
      <c r="AB216" t="s">
        <v>38</v>
      </c>
      <c r="AC216" t="s">
        <v>81</v>
      </c>
      <c r="AD216">
        <v>26818.05</v>
      </c>
      <c r="AE216" t="b">
        <v>0</v>
      </c>
      <c r="AF216">
        <v>1561983.56</v>
      </c>
    </row>
    <row r="217" spans="1:32" x14ac:dyDescent="0.3">
      <c r="A217" t="s">
        <v>556</v>
      </c>
      <c r="B217" t="s">
        <v>557</v>
      </c>
      <c r="C217" t="s">
        <v>98</v>
      </c>
      <c r="D217" t="s">
        <v>31</v>
      </c>
      <c r="E217">
        <v>632300</v>
      </c>
      <c r="F217">
        <v>72</v>
      </c>
      <c r="G217">
        <v>7.67</v>
      </c>
      <c r="H217">
        <v>510082.79</v>
      </c>
      <c r="I217">
        <v>0</v>
      </c>
      <c r="J217">
        <v>0</v>
      </c>
      <c r="K217">
        <v>0</v>
      </c>
      <c r="L217">
        <v>1</v>
      </c>
      <c r="M217">
        <v>142117484.08000001</v>
      </c>
      <c r="N217" s="1">
        <v>45596</v>
      </c>
      <c r="O217" t="s">
        <v>32</v>
      </c>
      <c r="P217" t="s">
        <v>44</v>
      </c>
      <c r="Q217" s="1">
        <v>45222</v>
      </c>
      <c r="R217" t="s">
        <v>99</v>
      </c>
      <c r="S217" t="s">
        <v>157</v>
      </c>
      <c r="T217">
        <v>2023</v>
      </c>
      <c r="U217">
        <v>732</v>
      </c>
      <c r="V217">
        <v>702</v>
      </c>
      <c r="W217" t="s">
        <v>70</v>
      </c>
      <c r="X217">
        <v>724000</v>
      </c>
      <c r="Y217">
        <v>0.18210000000000001</v>
      </c>
      <c r="Z217">
        <v>35</v>
      </c>
      <c r="AA217" t="s">
        <v>140</v>
      </c>
      <c r="AB217" t="s">
        <v>38</v>
      </c>
      <c r="AC217" t="s">
        <v>54</v>
      </c>
      <c r="AD217">
        <v>10984.66</v>
      </c>
      <c r="AE217" t="b">
        <v>0</v>
      </c>
      <c r="AF217">
        <v>780351.33</v>
      </c>
    </row>
    <row r="218" spans="1:32" x14ac:dyDescent="0.3">
      <c r="A218" t="s">
        <v>558</v>
      </c>
      <c r="B218" t="s">
        <v>559</v>
      </c>
      <c r="C218" t="s">
        <v>67</v>
      </c>
      <c r="D218" t="s">
        <v>31</v>
      </c>
      <c r="E218">
        <v>3005700</v>
      </c>
      <c r="F218">
        <v>72</v>
      </c>
      <c r="G218">
        <v>8</v>
      </c>
      <c r="H218">
        <v>2653692.08</v>
      </c>
      <c r="I218">
        <v>0</v>
      </c>
      <c r="J218">
        <v>0</v>
      </c>
      <c r="K218">
        <v>0</v>
      </c>
      <c r="L218">
        <v>1</v>
      </c>
      <c r="M218">
        <v>142117484.08000001</v>
      </c>
      <c r="N218" s="1">
        <v>45596</v>
      </c>
      <c r="O218" t="s">
        <v>32</v>
      </c>
      <c r="P218" t="s">
        <v>44</v>
      </c>
      <c r="Q218" s="1">
        <v>45319</v>
      </c>
      <c r="R218" t="s">
        <v>85</v>
      </c>
      <c r="S218" t="s">
        <v>130</v>
      </c>
      <c r="T218">
        <v>2024</v>
      </c>
      <c r="U218">
        <v>732</v>
      </c>
      <c r="V218">
        <v>756</v>
      </c>
      <c r="W218" t="s">
        <v>70</v>
      </c>
      <c r="X218">
        <v>757000</v>
      </c>
      <c r="Y218">
        <v>0.83540000000000003</v>
      </c>
      <c r="Z218">
        <v>34</v>
      </c>
      <c r="AA218" t="s">
        <v>47</v>
      </c>
      <c r="AB218" t="s">
        <v>38</v>
      </c>
      <c r="AC218" t="s">
        <v>39</v>
      </c>
      <c r="AD218">
        <v>52699.66</v>
      </c>
      <c r="AE218" t="b">
        <v>0</v>
      </c>
      <c r="AF218">
        <v>3022302.02</v>
      </c>
    </row>
    <row r="219" spans="1:32" x14ac:dyDescent="0.3">
      <c r="A219" t="s">
        <v>560</v>
      </c>
      <c r="B219" t="s">
        <v>561</v>
      </c>
      <c r="C219" t="s">
        <v>98</v>
      </c>
      <c r="D219" t="s">
        <v>31</v>
      </c>
      <c r="E219">
        <v>781300</v>
      </c>
      <c r="F219">
        <v>72</v>
      </c>
      <c r="G219">
        <v>11.1</v>
      </c>
      <c r="H219">
        <v>563250.55000000005</v>
      </c>
      <c r="I219">
        <v>0</v>
      </c>
      <c r="J219">
        <v>0</v>
      </c>
      <c r="K219">
        <v>0</v>
      </c>
      <c r="L219">
        <v>1</v>
      </c>
      <c r="M219">
        <v>142117484.08000001</v>
      </c>
      <c r="N219" s="1">
        <v>45596</v>
      </c>
      <c r="O219" t="s">
        <v>32</v>
      </c>
      <c r="P219" t="s">
        <v>33</v>
      </c>
      <c r="Q219" s="1">
        <v>45125</v>
      </c>
      <c r="R219" t="s">
        <v>171</v>
      </c>
      <c r="S219" t="s">
        <v>381</v>
      </c>
      <c r="T219">
        <v>2023</v>
      </c>
      <c r="U219">
        <v>733</v>
      </c>
      <c r="V219">
        <v>712</v>
      </c>
      <c r="W219" t="s">
        <v>36</v>
      </c>
      <c r="X219">
        <v>3887000</v>
      </c>
      <c r="Y219">
        <v>4.5999999999999999E-2</v>
      </c>
      <c r="Z219">
        <v>51</v>
      </c>
      <c r="AA219" t="s">
        <v>47</v>
      </c>
      <c r="AB219" t="s">
        <v>38</v>
      </c>
      <c r="AC219" t="s">
        <v>54</v>
      </c>
      <c r="AD219">
        <v>14911.37</v>
      </c>
      <c r="AE219" t="b">
        <v>0</v>
      </c>
      <c r="AF219">
        <v>751594.76</v>
      </c>
    </row>
    <row r="220" spans="1:32" x14ac:dyDescent="0.3">
      <c r="A220" t="s">
        <v>562</v>
      </c>
      <c r="B220" t="s">
        <v>563</v>
      </c>
      <c r="C220" t="s">
        <v>67</v>
      </c>
      <c r="D220" t="s">
        <v>31</v>
      </c>
      <c r="E220">
        <v>1043800</v>
      </c>
      <c r="F220">
        <v>36</v>
      </c>
      <c r="G220">
        <v>10.76</v>
      </c>
      <c r="H220">
        <v>453686.11</v>
      </c>
      <c r="I220">
        <v>0</v>
      </c>
      <c r="J220">
        <v>0</v>
      </c>
      <c r="K220">
        <v>0</v>
      </c>
      <c r="L220">
        <v>1</v>
      </c>
      <c r="M220">
        <v>142117484.08000001</v>
      </c>
      <c r="N220" s="1">
        <v>45596</v>
      </c>
      <c r="O220" t="s">
        <v>32</v>
      </c>
      <c r="P220" t="s">
        <v>33</v>
      </c>
      <c r="Q220" s="1">
        <v>44974</v>
      </c>
      <c r="R220" t="s">
        <v>85</v>
      </c>
      <c r="S220" t="s">
        <v>86</v>
      </c>
      <c r="T220">
        <v>2023</v>
      </c>
      <c r="U220">
        <v>733</v>
      </c>
      <c r="V220">
        <v>746</v>
      </c>
      <c r="W220" t="s">
        <v>36</v>
      </c>
      <c r="X220">
        <v>779000</v>
      </c>
      <c r="Y220">
        <v>0.52459999999999996</v>
      </c>
      <c r="Z220">
        <v>46</v>
      </c>
      <c r="AA220" t="s">
        <v>76</v>
      </c>
      <c r="AB220" t="s">
        <v>38</v>
      </c>
      <c r="AC220" t="s">
        <v>81</v>
      </c>
      <c r="AD220">
        <v>34054.160000000003</v>
      </c>
      <c r="AE220" t="b">
        <v>0</v>
      </c>
      <c r="AF220">
        <v>868705.16</v>
      </c>
    </row>
    <row r="221" spans="1:32" x14ac:dyDescent="0.3">
      <c r="A221" t="s">
        <v>564</v>
      </c>
      <c r="B221" t="s">
        <v>565</v>
      </c>
      <c r="C221" t="s">
        <v>103</v>
      </c>
      <c r="D221" t="s">
        <v>84</v>
      </c>
      <c r="E221">
        <v>677300</v>
      </c>
      <c r="F221">
        <v>60</v>
      </c>
      <c r="G221">
        <v>11.65</v>
      </c>
      <c r="H221">
        <v>666957.92000000004</v>
      </c>
      <c r="I221">
        <v>0</v>
      </c>
      <c r="J221">
        <v>0</v>
      </c>
      <c r="K221">
        <v>0</v>
      </c>
      <c r="L221">
        <v>1</v>
      </c>
      <c r="M221">
        <v>142117484.08000001</v>
      </c>
      <c r="N221" s="1">
        <v>45596</v>
      </c>
      <c r="O221" t="s">
        <v>32</v>
      </c>
      <c r="P221" t="s">
        <v>33</v>
      </c>
      <c r="Q221" s="1">
        <v>45477</v>
      </c>
      <c r="R221" t="s">
        <v>61</v>
      </c>
      <c r="S221" t="s">
        <v>62</v>
      </c>
      <c r="T221">
        <v>2021</v>
      </c>
      <c r="U221">
        <v>733</v>
      </c>
      <c r="V221">
        <v>687</v>
      </c>
      <c r="W221" t="s">
        <v>57</v>
      </c>
      <c r="X221">
        <v>451000</v>
      </c>
      <c r="Y221">
        <v>0.3977</v>
      </c>
      <c r="Z221">
        <v>41</v>
      </c>
      <c r="AA221" t="s">
        <v>37</v>
      </c>
      <c r="AB221" t="s">
        <v>38</v>
      </c>
      <c r="AC221" t="s">
        <v>81</v>
      </c>
      <c r="AD221">
        <v>14946.65</v>
      </c>
      <c r="AE221" t="b">
        <v>1</v>
      </c>
      <c r="AF221">
        <v>888929.02</v>
      </c>
    </row>
    <row r="222" spans="1:32" x14ac:dyDescent="0.3">
      <c r="A222" t="s">
        <v>566</v>
      </c>
      <c r="B222" t="s">
        <v>567</v>
      </c>
      <c r="C222" t="s">
        <v>103</v>
      </c>
      <c r="D222" t="s">
        <v>84</v>
      </c>
      <c r="E222">
        <v>570700</v>
      </c>
      <c r="F222">
        <v>84</v>
      </c>
      <c r="G222">
        <v>9.14</v>
      </c>
      <c r="H222">
        <v>255261.58</v>
      </c>
      <c r="I222">
        <v>0</v>
      </c>
      <c r="J222">
        <v>0</v>
      </c>
      <c r="K222">
        <v>0</v>
      </c>
      <c r="L222">
        <v>1</v>
      </c>
      <c r="M222">
        <v>142117484.08000001</v>
      </c>
      <c r="N222" s="1">
        <v>45596</v>
      </c>
      <c r="O222" t="s">
        <v>32</v>
      </c>
      <c r="P222" t="s">
        <v>74</v>
      </c>
      <c r="Q222" s="1">
        <v>44282</v>
      </c>
      <c r="R222" t="s">
        <v>94</v>
      </c>
      <c r="S222" t="s">
        <v>95</v>
      </c>
      <c r="T222">
        <v>2018</v>
      </c>
      <c r="U222">
        <v>733</v>
      </c>
      <c r="V222">
        <v>756</v>
      </c>
      <c r="W222" t="s">
        <v>57</v>
      </c>
      <c r="X222">
        <v>1016000</v>
      </c>
      <c r="Y222">
        <v>0.1089</v>
      </c>
      <c r="Z222">
        <v>53</v>
      </c>
      <c r="AA222" t="s">
        <v>126</v>
      </c>
      <c r="AB222" t="s">
        <v>38</v>
      </c>
      <c r="AC222" t="s">
        <v>81</v>
      </c>
      <c r="AD222">
        <v>9222.64</v>
      </c>
      <c r="AE222" t="b">
        <v>0</v>
      </c>
      <c r="AF222">
        <v>294949.12</v>
      </c>
    </row>
    <row r="223" spans="1:32" x14ac:dyDescent="0.3">
      <c r="A223" t="s">
        <v>568</v>
      </c>
      <c r="B223" t="s">
        <v>569</v>
      </c>
      <c r="C223" t="s">
        <v>98</v>
      </c>
      <c r="D223" t="s">
        <v>31</v>
      </c>
      <c r="E223">
        <v>1066300</v>
      </c>
      <c r="F223">
        <v>60</v>
      </c>
      <c r="G223">
        <v>11.05</v>
      </c>
      <c r="H223">
        <v>971783.14</v>
      </c>
      <c r="I223">
        <v>24</v>
      </c>
      <c r="J223">
        <v>0</v>
      </c>
      <c r="K223">
        <v>0</v>
      </c>
      <c r="L223">
        <v>1</v>
      </c>
      <c r="M223">
        <v>142117484.08000001</v>
      </c>
      <c r="N223" s="1">
        <v>45596</v>
      </c>
      <c r="O223" t="s">
        <v>139</v>
      </c>
      <c r="P223" t="s">
        <v>44</v>
      </c>
      <c r="Q223" s="1">
        <v>45452</v>
      </c>
      <c r="R223" t="s">
        <v>61</v>
      </c>
      <c r="S223" t="s">
        <v>136</v>
      </c>
      <c r="T223">
        <v>2024</v>
      </c>
      <c r="U223">
        <v>734</v>
      </c>
      <c r="V223">
        <v>698</v>
      </c>
      <c r="W223" t="s">
        <v>36</v>
      </c>
      <c r="X223">
        <v>673000</v>
      </c>
      <c r="Y223">
        <v>0.41389999999999999</v>
      </c>
      <c r="Z223">
        <v>58</v>
      </c>
      <c r="AA223" t="s">
        <v>148</v>
      </c>
      <c r="AB223" t="s">
        <v>38</v>
      </c>
      <c r="AC223" t="s">
        <v>54</v>
      </c>
      <c r="AD223">
        <v>23210.54</v>
      </c>
      <c r="AE223" t="b">
        <v>0</v>
      </c>
      <c r="AF223">
        <v>1305433.08</v>
      </c>
    </row>
    <row r="224" spans="1:32" x14ac:dyDescent="0.3">
      <c r="A224" t="s">
        <v>570</v>
      </c>
      <c r="B224" t="s">
        <v>571</v>
      </c>
      <c r="C224" t="s">
        <v>98</v>
      </c>
      <c r="D224" t="s">
        <v>31</v>
      </c>
      <c r="E224">
        <v>645700</v>
      </c>
      <c r="F224">
        <v>60</v>
      </c>
      <c r="G224">
        <v>11.25</v>
      </c>
      <c r="H224">
        <v>553065.69999999995</v>
      </c>
      <c r="I224">
        <v>0</v>
      </c>
      <c r="J224">
        <v>0</v>
      </c>
      <c r="K224">
        <v>0</v>
      </c>
      <c r="L224">
        <v>1</v>
      </c>
      <c r="M224">
        <v>142117484.08000001</v>
      </c>
      <c r="N224" s="1">
        <v>45596</v>
      </c>
      <c r="O224" t="s">
        <v>32</v>
      </c>
      <c r="P224" t="s">
        <v>50</v>
      </c>
      <c r="Q224" s="1">
        <v>45488</v>
      </c>
      <c r="R224" t="s">
        <v>99</v>
      </c>
      <c r="S224" t="s">
        <v>497</v>
      </c>
      <c r="T224">
        <v>2024</v>
      </c>
      <c r="U224">
        <v>734</v>
      </c>
      <c r="V224">
        <v>737</v>
      </c>
      <c r="W224" t="s">
        <v>70</v>
      </c>
      <c r="X224">
        <v>2998000</v>
      </c>
      <c r="Y224">
        <v>5.6500000000000002E-2</v>
      </c>
      <c r="Z224">
        <v>54</v>
      </c>
      <c r="AA224" t="s">
        <v>233</v>
      </c>
      <c r="AB224" t="s">
        <v>38</v>
      </c>
      <c r="AC224" t="s">
        <v>81</v>
      </c>
      <c r="AD224">
        <v>14119.72</v>
      </c>
      <c r="AE224" t="b">
        <v>0</v>
      </c>
      <c r="AF224">
        <v>1003348.48</v>
      </c>
    </row>
    <row r="225" spans="1:32" x14ac:dyDescent="0.3">
      <c r="A225" t="s">
        <v>572</v>
      </c>
      <c r="B225" t="s">
        <v>573</v>
      </c>
      <c r="C225" t="s">
        <v>98</v>
      </c>
      <c r="D225" t="s">
        <v>31</v>
      </c>
      <c r="E225">
        <v>1562900</v>
      </c>
      <c r="F225">
        <v>84</v>
      </c>
      <c r="G225">
        <v>13.79</v>
      </c>
      <c r="H225">
        <v>884279.78</v>
      </c>
      <c r="I225">
        <v>0</v>
      </c>
      <c r="J225">
        <v>0</v>
      </c>
      <c r="K225">
        <v>0</v>
      </c>
      <c r="L225">
        <v>1</v>
      </c>
      <c r="M225">
        <v>142117484.08000001</v>
      </c>
      <c r="N225" s="1">
        <v>45596</v>
      </c>
      <c r="O225" t="s">
        <v>32</v>
      </c>
      <c r="P225" t="s">
        <v>44</v>
      </c>
      <c r="Q225" s="1">
        <v>44441</v>
      </c>
      <c r="R225" t="s">
        <v>34</v>
      </c>
      <c r="S225" t="s">
        <v>35</v>
      </c>
      <c r="T225">
        <v>2021</v>
      </c>
      <c r="U225">
        <v>734</v>
      </c>
      <c r="V225">
        <v>748</v>
      </c>
      <c r="W225" t="s">
        <v>70</v>
      </c>
      <c r="X225">
        <v>3244000</v>
      </c>
      <c r="Y225">
        <v>0.1077</v>
      </c>
      <c r="Z225">
        <v>27</v>
      </c>
      <c r="AA225" t="s">
        <v>47</v>
      </c>
      <c r="AB225" t="s">
        <v>38</v>
      </c>
      <c r="AC225" t="s">
        <v>54</v>
      </c>
      <c r="AD225">
        <v>29107.759999999998</v>
      </c>
      <c r="AE225" t="b">
        <v>0</v>
      </c>
      <c r="AF225">
        <v>886302.02</v>
      </c>
    </row>
    <row r="226" spans="1:32" x14ac:dyDescent="0.3">
      <c r="A226" t="s">
        <v>574</v>
      </c>
      <c r="B226" t="s">
        <v>575</v>
      </c>
      <c r="C226" t="s">
        <v>103</v>
      </c>
      <c r="D226" t="s">
        <v>31</v>
      </c>
      <c r="E226">
        <v>2396900</v>
      </c>
      <c r="F226">
        <v>36</v>
      </c>
      <c r="G226">
        <v>13</v>
      </c>
      <c r="H226">
        <v>2352004.08</v>
      </c>
      <c r="I226">
        <v>0</v>
      </c>
      <c r="J226">
        <v>0</v>
      </c>
      <c r="K226">
        <v>0</v>
      </c>
      <c r="L226">
        <v>1</v>
      </c>
      <c r="M226">
        <v>142117484.08000001</v>
      </c>
      <c r="N226" s="1">
        <v>45596</v>
      </c>
      <c r="O226" t="s">
        <v>32</v>
      </c>
      <c r="P226" t="s">
        <v>74</v>
      </c>
      <c r="Q226" s="1">
        <v>45518</v>
      </c>
      <c r="R226" t="s">
        <v>99</v>
      </c>
      <c r="S226" t="s">
        <v>200</v>
      </c>
      <c r="T226">
        <v>2024</v>
      </c>
      <c r="U226">
        <v>735</v>
      </c>
      <c r="V226">
        <v>710</v>
      </c>
      <c r="W226" t="s">
        <v>57</v>
      </c>
      <c r="X226">
        <v>1820000</v>
      </c>
      <c r="Y226">
        <v>0.53249999999999997</v>
      </c>
      <c r="Z226">
        <v>29</v>
      </c>
      <c r="AA226" t="s">
        <v>233</v>
      </c>
      <c r="AB226" t="s">
        <v>38</v>
      </c>
      <c r="AC226" t="s">
        <v>39</v>
      </c>
      <c r="AD226">
        <v>80761.03</v>
      </c>
      <c r="AE226" t="b">
        <v>0</v>
      </c>
      <c r="AF226">
        <v>2984395.68</v>
      </c>
    </row>
    <row r="227" spans="1:32" x14ac:dyDescent="0.3">
      <c r="A227" t="s">
        <v>576</v>
      </c>
      <c r="B227" t="s">
        <v>577</v>
      </c>
      <c r="C227" t="s">
        <v>98</v>
      </c>
      <c r="D227" t="s">
        <v>31</v>
      </c>
      <c r="E227">
        <v>635900</v>
      </c>
      <c r="F227">
        <v>60</v>
      </c>
      <c r="G227">
        <v>9.89</v>
      </c>
      <c r="H227">
        <v>342083.51</v>
      </c>
      <c r="I227">
        <v>0</v>
      </c>
      <c r="J227">
        <v>0</v>
      </c>
      <c r="K227">
        <v>0</v>
      </c>
      <c r="L227">
        <v>1</v>
      </c>
      <c r="M227">
        <v>142117484.08000001</v>
      </c>
      <c r="N227" s="1">
        <v>45596</v>
      </c>
      <c r="O227" t="s">
        <v>32</v>
      </c>
      <c r="P227" t="s">
        <v>50</v>
      </c>
      <c r="Q227" s="1">
        <v>44718</v>
      </c>
      <c r="R227" t="s">
        <v>99</v>
      </c>
      <c r="S227" t="s">
        <v>200</v>
      </c>
      <c r="T227">
        <v>2022</v>
      </c>
      <c r="U227">
        <v>736</v>
      </c>
      <c r="V227">
        <v>747</v>
      </c>
      <c r="W227" t="s">
        <v>63</v>
      </c>
      <c r="X227">
        <v>1212000</v>
      </c>
      <c r="Y227">
        <v>0.13339999999999999</v>
      </c>
      <c r="Z227">
        <v>25</v>
      </c>
      <c r="AA227" t="s">
        <v>162</v>
      </c>
      <c r="AB227" t="s">
        <v>38</v>
      </c>
      <c r="AC227" t="s">
        <v>81</v>
      </c>
      <c r="AD227">
        <v>13476.6</v>
      </c>
      <c r="AE227" t="b">
        <v>0</v>
      </c>
      <c r="AF227">
        <v>743189.88</v>
      </c>
    </row>
    <row r="228" spans="1:32" x14ac:dyDescent="0.3">
      <c r="A228" t="s">
        <v>578</v>
      </c>
      <c r="B228" t="s">
        <v>579</v>
      </c>
      <c r="C228" t="s">
        <v>30</v>
      </c>
      <c r="D228" t="s">
        <v>31</v>
      </c>
      <c r="E228">
        <v>1197100</v>
      </c>
      <c r="F228">
        <v>48</v>
      </c>
      <c r="G228">
        <v>8.56</v>
      </c>
      <c r="H228">
        <v>1000453.89</v>
      </c>
      <c r="I228">
        <v>0</v>
      </c>
      <c r="J228">
        <v>0</v>
      </c>
      <c r="K228">
        <v>0</v>
      </c>
      <c r="L228">
        <v>1</v>
      </c>
      <c r="M228">
        <v>142117484.08000001</v>
      </c>
      <c r="N228" s="1">
        <v>45596</v>
      </c>
      <c r="O228" t="s">
        <v>32</v>
      </c>
      <c r="P228" t="s">
        <v>44</v>
      </c>
      <c r="Q228" s="1">
        <v>45361</v>
      </c>
      <c r="R228" t="s">
        <v>171</v>
      </c>
      <c r="S228" t="s">
        <v>398</v>
      </c>
      <c r="T228">
        <v>2024</v>
      </c>
      <c r="U228">
        <v>736</v>
      </c>
      <c r="V228">
        <v>696</v>
      </c>
      <c r="W228" t="s">
        <v>57</v>
      </c>
      <c r="X228">
        <v>2928000</v>
      </c>
      <c r="Y228">
        <v>0.1211</v>
      </c>
      <c r="Z228">
        <v>37</v>
      </c>
      <c r="AA228" t="s">
        <v>148</v>
      </c>
      <c r="AB228" t="s">
        <v>38</v>
      </c>
      <c r="AC228" t="s">
        <v>54</v>
      </c>
      <c r="AD228">
        <v>29540.41</v>
      </c>
      <c r="AE228" t="b">
        <v>0</v>
      </c>
      <c r="AF228">
        <v>1124362.27</v>
      </c>
    </row>
    <row r="229" spans="1:32" x14ac:dyDescent="0.3">
      <c r="A229" t="s">
        <v>580</v>
      </c>
      <c r="B229" t="s">
        <v>581</v>
      </c>
      <c r="C229" t="s">
        <v>42</v>
      </c>
      <c r="D229" t="s">
        <v>31</v>
      </c>
      <c r="E229">
        <v>561600</v>
      </c>
      <c r="F229">
        <v>48</v>
      </c>
      <c r="G229">
        <v>12.91</v>
      </c>
      <c r="H229">
        <v>233202.41</v>
      </c>
      <c r="I229">
        <v>76</v>
      </c>
      <c r="J229">
        <v>0</v>
      </c>
      <c r="K229">
        <v>0</v>
      </c>
      <c r="L229">
        <v>2</v>
      </c>
      <c r="M229">
        <v>142117484.08000001</v>
      </c>
      <c r="N229" s="1">
        <v>45596</v>
      </c>
      <c r="O229" t="s">
        <v>122</v>
      </c>
      <c r="P229" t="s">
        <v>74</v>
      </c>
      <c r="Q229" s="1">
        <v>44786</v>
      </c>
      <c r="R229" t="s">
        <v>68</v>
      </c>
      <c r="S229" t="s">
        <v>133</v>
      </c>
      <c r="T229">
        <v>2022</v>
      </c>
      <c r="U229">
        <v>737</v>
      </c>
      <c r="V229">
        <v>725</v>
      </c>
      <c r="W229" t="s">
        <v>36</v>
      </c>
      <c r="X229">
        <v>4150000</v>
      </c>
      <c r="Y229">
        <v>4.3499999999999997E-2</v>
      </c>
      <c r="Z229">
        <v>49</v>
      </c>
      <c r="AA229" t="s">
        <v>108</v>
      </c>
      <c r="AB229" t="s">
        <v>38</v>
      </c>
      <c r="AC229" t="s">
        <v>81</v>
      </c>
      <c r="AD229">
        <v>15041.25</v>
      </c>
      <c r="AE229" t="b">
        <v>0</v>
      </c>
      <c r="AF229">
        <v>458638.52</v>
      </c>
    </row>
    <row r="230" spans="1:32" x14ac:dyDescent="0.3">
      <c r="A230" t="s">
        <v>582</v>
      </c>
      <c r="B230" t="s">
        <v>583</v>
      </c>
      <c r="C230" t="s">
        <v>98</v>
      </c>
      <c r="D230" t="s">
        <v>31</v>
      </c>
      <c r="E230">
        <v>809200</v>
      </c>
      <c r="F230">
        <v>36</v>
      </c>
      <c r="G230">
        <v>7.71</v>
      </c>
      <c r="H230">
        <v>722780.45</v>
      </c>
      <c r="I230">
        <v>0</v>
      </c>
      <c r="J230">
        <v>0</v>
      </c>
      <c r="K230">
        <v>0</v>
      </c>
      <c r="L230">
        <v>1</v>
      </c>
      <c r="M230">
        <v>142117484.08000001</v>
      </c>
      <c r="N230" s="1">
        <v>45596</v>
      </c>
      <c r="O230" t="s">
        <v>32</v>
      </c>
      <c r="P230" t="s">
        <v>74</v>
      </c>
      <c r="Q230" s="1">
        <v>45555</v>
      </c>
      <c r="R230" t="s">
        <v>61</v>
      </c>
      <c r="S230" t="s">
        <v>62</v>
      </c>
      <c r="T230">
        <v>2024</v>
      </c>
      <c r="U230">
        <v>737</v>
      </c>
      <c r="V230">
        <v>734</v>
      </c>
      <c r="W230" t="s">
        <v>63</v>
      </c>
      <c r="X230">
        <v>3958000</v>
      </c>
      <c r="Y230">
        <v>7.6600000000000001E-2</v>
      </c>
      <c r="Z230">
        <v>56</v>
      </c>
      <c r="AA230" t="s">
        <v>233</v>
      </c>
      <c r="AB230" t="s">
        <v>38</v>
      </c>
      <c r="AC230" t="s">
        <v>54</v>
      </c>
      <c r="AD230">
        <v>25249.27</v>
      </c>
      <c r="AE230" t="b">
        <v>0</v>
      </c>
      <c r="AF230">
        <v>1121731.4099999999</v>
      </c>
    </row>
    <row r="231" spans="1:32" x14ac:dyDescent="0.3">
      <c r="A231" t="s">
        <v>584</v>
      </c>
      <c r="B231" t="s">
        <v>585</v>
      </c>
      <c r="C231" t="s">
        <v>67</v>
      </c>
      <c r="D231" t="s">
        <v>31</v>
      </c>
      <c r="E231">
        <v>1480000</v>
      </c>
      <c r="F231">
        <v>36</v>
      </c>
      <c r="G231">
        <v>11.12</v>
      </c>
      <c r="H231">
        <v>314565.55</v>
      </c>
      <c r="I231">
        <v>0</v>
      </c>
      <c r="J231">
        <v>0</v>
      </c>
      <c r="K231">
        <v>0</v>
      </c>
      <c r="L231">
        <v>1</v>
      </c>
      <c r="M231">
        <v>142117484.08000001</v>
      </c>
      <c r="N231" s="1">
        <v>45596</v>
      </c>
      <c r="O231" t="s">
        <v>32</v>
      </c>
      <c r="P231" t="s">
        <v>44</v>
      </c>
      <c r="Q231" s="1">
        <v>44736</v>
      </c>
      <c r="R231" t="s">
        <v>45</v>
      </c>
      <c r="S231" t="s">
        <v>46</v>
      </c>
      <c r="T231">
        <v>2022</v>
      </c>
      <c r="U231">
        <v>738</v>
      </c>
      <c r="V231">
        <v>750</v>
      </c>
      <c r="W231" t="s">
        <v>70</v>
      </c>
      <c r="X231">
        <v>1959000</v>
      </c>
      <c r="Y231">
        <v>0.29730000000000001</v>
      </c>
      <c r="Z231">
        <v>57</v>
      </c>
      <c r="AA231" t="s">
        <v>162</v>
      </c>
      <c r="AB231" t="s">
        <v>38</v>
      </c>
      <c r="AC231" t="s">
        <v>39</v>
      </c>
      <c r="AD231">
        <v>48537.45</v>
      </c>
      <c r="AE231" t="b">
        <v>0</v>
      </c>
      <c r="AF231">
        <v>1227465.06</v>
      </c>
    </row>
    <row r="232" spans="1:32" x14ac:dyDescent="0.3">
      <c r="A232" t="s">
        <v>586</v>
      </c>
      <c r="B232" t="s">
        <v>587</v>
      </c>
      <c r="C232" t="s">
        <v>67</v>
      </c>
      <c r="D232" t="s">
        <v>31</v>
      </c>
      <c r="E232">
        <v>1977500</v>
      </c>
      <c r="F232">
        <v>36</v>
      </c>
      <c r="G232">
        <v>13.83</v>
      </c>
      <c r="H232">
        <v>1042584.65</v>
      </c>
      <c r="I232">
        <v>0</v>
      </c>
      <c r="J232">
        <v>0</v>
      </c>
      <c r="K232">
        <v>28027.45</v>
      </c>
      <c r="L232">
        <v>1</v>
      </c>
      <c r="M232">
        <v>142117484.08000001</v>
      </c>
      <c r="N232" s="1">
        <v>45596</v>
      </c>
      <c r="O232" t="s">
        <v>32</v>
      </c>
      <c r="P232" t="s">
        <v>44</v>
      </c>
      <c r="Q232" s="1">
        <v>45056</v>
      </c>
      <c r="R232" t="s">
        <v>85</v>
      </c>
      <c r="S232" t="s">
        <v>130</v>
      </c>
      <c r="T232">
        <v>2023</v>
      </c>
      <c r="U232">
        <v>738</v>
      </c>
      <c r="V232">
        <v>749</v>
      </c>
      <c r="W232" t="s">
        <v>57</v>
      </c>
      <c r="X232">
        <v>1291000</v>
      </c>
      <c r="Y232">
        <v>0.62670000000000003</v>
      </c>
      <c r="Z232">
        <v>61</v>
      </c>
      <c r="AA232" t="s">
        <v>53</v>
      </c>
      <c r="AB232" t="s">
        <v>38</v>
      </c>
      <c r="AC232" t="s">
        <v>54</v>
      </c>
      <c r="AD232">
        <v>67423.100000000006</v>
      </c>
      <c r="AE232" t="b">
        <v>0</v>
      </c>
      <c r="AF232">
        <v>2266983.66</v>
      </c>
    </row>
    <row r="233" spans="1:32" x14ac:dyDescent="0.3">
      <c r="A233" t="s">
        <v>588</v>
      </c>
      <c r="B233" t="s">
        <v>589</v>
      </c>
      <c r="C233" t="s">
        <v>103</v>
      </c>
      <c r="D233" t="s">
        <v>31</v>
      </c>
      <c r="E233">
        <v>1004500</v>
      </c>
      <c r="F233">
        <v>84</v>
      </c>
      <c r="G233">
        <v>12.41</v>
      </c>
      <c r="H233">
        <v>760045.31</v>
      </c>
      <c r="I233">
        <v>0</v>
      </c>
      <c r="J233">
        <v>0</v>
      </c>
      <c r="K233">
        <v>2205.71</v>
      </c>
      <c r="L233">
        <v>1</v>
      </c>
      <c r="M233">
        <v>142117484.08000001</v>
      </c>
      <c r="N233" s="1">
        <v>45596</v>
      </c>
      <c r="O233" t="s">
        <v>32</v>
      </c>
      <c r="P233" t="s">
        <v>44</v>
      </c>
      <c r="Q233" s="1">
        <v>44911</v>
      </c>
      <c r="R233" t="s">
        <v>61</v>
      </c>
      <c r="S233" t="s">
        <v>62</v>
      </c>
      <c r="T233">
        <v>2022</v>
      </c>
      <c r="U233">
        <v>738</v>
      </c>
      <c r="V233">
        <v>724</v>
      </c>
      <c r="W233" t="s">
        <v>70</v>
      </c>
      <c r="X233">
        <v>2963000</v>
      </c>
      <c r="Y233">
        <v>7.2700000000000001E-2</v>
      </c>
      <c r="Z233">
        <v>50</v>
      </c>
      <c r="AA233" t="s">
        <v>140</v>
      </c>
      <c r="AB233" t="s">
        <v>38</v>
      </c>
      <c r="AC233" t="s">
        <v>54</v>
      </c>
      <c r="AD233">
        <v>17953.169999999998</v>
      </c>
      <c r="AE233" t="b">
        <v>0</v>
      </c>
      <c r="AF233">
        <v>1156626.67</v>
      </c>
    </row>
    <row r="234" spans="1:32" x14ac:dyDescent="0.3">
      <c r="A234" t="s">
        <v>590</v>
      </c>
      <c r="B234" t="s">
        <v>591</v>
      </c>
      <c r="C234" t="s">
        <v>103</v>
      </c>
      <c r="D234" t="s">
        <v>31</v>
      </c>
      <c r="E234">
        <v>1018700</v>
      </c>
      <c r="F234">
        <v>48</v>
      </c>
      <c r="G234">
        <v>11.99</v>
      </c>
      <c r="H234">
        <v>191306.23999999999</v>
      </c>
      <c r="I234">
        <v>0</v>
      </c>
      <c r="J234">
        <v>0</v>
      </c>
      <c r="K234">
        <v>0</v>
      </c>
      <c r="L234">
        <v>1</v>
      </c>
      <c r="M234">
        <v>142117484.08000001</v>
      </c>
      <c r="N234" s="1">
        <v>45596</v>
      </c>
      <c r="O234" t="s">
        <v>32</v>
      </c>
      <c r="P234" t="s">
        <v>33</v>
      </c>
      <c r="Q234" s="1">
        <v>44406</v>
      </c>
      <c r="R234" t="s">
        <v>99</v>
      </c>
      <c r="S234" t="s">
        <v>200</v>
      </c>
      <c r="T234">
        <v>2021</v>
      </c>
      <c r="U234">
        <v>739</v>
      </c>
      <c r="V234">
        <v>716</v>
      </c>
      <c r="W234" t="s">
        <v>57</v>
      </c>
      <c r="X234">
        <v>827000</v>
      </c>
      <c r="Y234">
        <v>0.38919999999999999</v>
      </c>
      <c r="Z234">
        <v>58</v>
      </c>
      <c r="AA234" t="s">
        <v>113</v>
      </c>
      <c r="AB234" t="s">
        <v>38</v>
      </c>
      <c r="AC234" t="s">
        <v>54</v>
      </c>
      <c r="AD234">
        <v>26821.279999999999</v>
      </c>
      <c r="AE234" t="b">
        <v>0</v>
      </c>
      <c r="AF234">
        <v>657168.37</v>
      </c>
    </row>
    <row r="235" spans="1:32" x14ac:dyDescent="0.3">
      <c r="A235" t="s">
        <v>592</v>
      </c>
      <c r="B235" t="s">
        <v>593</v>
      </c>
      <c r="C235" t="s">
        <v>98</v>
      </c>
      <c r="D235" t="s">
        <v>84</v>
      </c>
      <c r="E235">
        <v>604200</v>
      </c>
      <c r="F235">
        <v>72</v>
      </c>
      <c r="G235">
        <v>7.67</v>
      </c>
      <c r="H235">
        <v>442469.92</v>
      </c>
      <c r="I235">
        <v>0</v>
      </c>
      <c r="J235">
        <v>0</v>
      </c>
      <c r="K235">
        <v>0</v>
      </c>
      <c r="L235">
        <v>1</v>
      </c>
      <c r="M235">
        <v>142117484.08000001</v>
      </c>
      <c r="N235" s="1">
        <v>45596</v>
      </c>
      <c r="O235" t="s">
        <v>32</v>
      </c>
      <c r="P235" t="s">
        <v>50</v>
      </c>
      <c r="Q235" s="1">
        <v>45126</v>
      </c>
      <c r="R235" t="s">
        <v>171</v>
      </c>
      <c r="S235" t="s">
        <v>594</v>
      </c>
      <c r="T235">
        <v>2020</v>
      </c>
      <c r="U235">
        <v>740</v>
      </c>
      <c r="V235">
        <v>706</v>
      </c>
      <c r="W235" t="s">
        <v>70</v>
      </c>
      <c r="X235">
        <v>4550000</v>
      </c>
      <c r="Y235">
        <v>2.7699999999999999E-2</v>
      </c>
      <c r="Z235">
        <v>31</v>
      </c>
      <c r="AA235" t="s">
        <v>80</v>
      </c>
      <c r="AB235" t="s">
        <v>38</v>
      </c>
      <c r="AC235" t="s">
        <v>39</v>
      </c>
      <c r="AD235">
        <v>10496.49</v>
      </c>
      <c r="AE235" t="b">
        <v>0</v>
      </c>
      <c r="AF235">
        <v>820005.69</v>
      </c>
    </row>
    <row r="236" spans="1:32" x14ac:dyDescent="0.3">
      <c r="A236" t="s">
        <v>595</v>
      </c>
      <c r="B236" t="s">
        <v>596</v>
      </c>
      <c r="C236" t="s">
        <v>98</v>
      </c>
      <c r="D236" t="s">
        <v>31</v>
      </c>
      <c r="E236">
        <v>731600</v>
      </c>
      <c r="F236">
        <v>36</v>
      </c>
      <c r="G236">
        <v>8.89</v>
      </c>
      <c r="H236">
        <v>631244.1</v>
      </c>
      <c r="I236">
        <v>0</v>
      </c>
      <c r="J236">
        <v>0</v>
      </c>
      <c r="K236">
        <v>0</v>
      </c>
      <c r="L236">
        <v>1</v>
      </c>
      <c r="M236">
        <v>142117484.08000001</v>
      </c>
      <c r="N236" s="1">
        <v>45596</v>
      </c>
      <c r="O236" t="s">
        <v>32</v>
      </c>
      <c r="P236" t="s">
        <v>74</v>
      </c>
      <c r="Q236" s="1">
        <v>45512</v>
      </c>
      <c r="R236" t="s">
        <v>94</v>
      </c>
      <c r="S236" t="s">
        <v>117</v>
      </c>
      <c r="T236">
        <v>2024</v>
      </c>
      <c r="U236">
        <v>740</v>
      </c>
      <c r="V236">
        <v>740</v>
      </c>
      <c r="W236" t="s">
        <v>36</v>
      </c>
      <c r="X236">
        <v>2097000</v>
      </c>
      <c r="Y236">
        <v>0.13289999999999999</v>
      </c>
      <c r="Z236">
        <v>47</v>
      </c>
      <c r="AA236" t="s">
        <v>113</v>
      </c>
      <c r="AB236" t="s">
        <v>38</v>
      </c>
      <c r="AC236" t="s">
        <v>39</v>
      </c>
      <c r="AD236">
        <v>23227.25</v>
      </c>
      <c r="AE236" t="b">
        <v>0</v>
      </c>
      <c r="AF236">
        <v>932780.8</v>
      </c>
    </row>
    <row r="237" spans="1:32" x14ac:dyDescent="0.3">
      <c r="A237" t="s">
        <v>597</v>
      </c>
      <c r="B237" t="s">
        <v>598</v>
      </c>
      <c r="C237" t="s">
        <v>98</v>
      </c>
      <c r="D237" t="s">
        <v>31</v>
      </c>
      <c r="E237">
        <v>1235500</v>
      </c>
      <c r="F237">
        <v>72</v>
      </c>
      <c r="G237">
        <v>10.17</v>
      </c>
      <c r="H237">
        <v>816577.91</v>
      </c>
      <c r="I237">
        <v>0</v>
      </c>
      <c r="J237">
        <v>0</v>
      </c>
      <c r="K237">
        <v>0</v>
      </c>
      <c r="L237">
        <v>1</v>
      </c>
      <c r="M237">
        <v>142117484.08000001</v>
      </c>
      <c r="N237" s="1">
        <v>45596</v>
      </c>
      <c r="O237" t="s">
        <v>32</v>
      </c>
      <c r="P237" t="s">
        <v>33</v>
      </c>
      <c r="Q237" s="1">
        <v>44876</v>
      </c>
      <c r="R237" t="s">
        <v>99</v>
      </c>
      <c r="S237" t="s">
        <v>100</v>
      </c>
      <c r="T237">
        <v>2022</v>
      </c>
      <c r="U237">
        <v>740</v>
      </c>
      <c r="V237">
        <v>712</v>
      </c>
      <c r="W237" t="s">
        <v>63</v>
      </c>
      <c r="X237">
        <v>751000</v>
      </c>
      <c r="Y237">
        <v>0.3674</v>
      </c>
      <c r="Z237">
        <v>44</v>
      </c>
      <c r="AA237" t="s">
        <v>148</v>
      </c>
      <c r="AB237" t="s">
        <v>38</v>
      </c>
      <c r="AC237" t="s">
        <v>81</v>
      </c>
      <c r="AD237">
        <v>22994.73</v>
      </c>
      <c r="AE237" t="b">
        <v>0</v>
      </c>
      <c r="AF237">
        <v>978843.12</v>
      </c>
    </row>
    <row r="238" spans="1:32" x14ac:dyDescent="0.3">
      <c r="A238" t="s">
        <v>599</v>
      </c>
      <c r="B238" t="s">
        <v>600</v>
      </c>
      <c r="C238" t="s">
        <v>103</v>
      </c>
      <c r="D238" t="s">
        <v>31</v>
      </c>
      <c r="E238">
        <v>1871600</v>
      </c>
      <c r="F238">
        <v>72</v>
      </c>
      <c r="G238">
        <v>12.23</v>
      </c>
      <c r="H238">
        <v>1649021.92</v>
      </c>
      <c r="I238">
        <v>46</v>
      </c>
      <c r="J238">
        <v>0</v>
      </c>
      <c r="K238">
        <v>0</v>
      </c>
      <c r="L238">
        <v>2</v>
      </c>
      <c r="M238">
        <v>142117484.08000001</v>
      </c>
      <c r="N238" s="1">
        <v>45596</v>
      </c>
      <c r="O238" t="s">
        <v>116</v>
      </c>
      <c r="P238" t="s">
        <v>33</v>
      </c>
      <c r="Q238" s="1">
        <v>45385</v>
      </c>
      <c r="R238" t="s">
        <v>85</v>
      </c>
      <c r="S238" t="s">
        <v>130</v>
      </c>
      <c r="T238">
        <v>2024</v>
      </c>
      <c r="U238">
        <v>741</v>
      </c>
      <c r="V238">
        <v>750</v>
      </c>
      <c r="W238" t="s">
        <v>36</v>
      </c>
      <c r="X238">
        <v>2064000</v>
      </c>
      <c r="Y238">
        <v>0.214</v>
      </c>
      <c r="Z238">
        <v>27</v>
      </c>
      <c r="AA238" t="s">
        <v>80</v>
      </c>
      <c r="AB238" t="s">
        <v>38</v>
      </c>
      <c r="AC238" t="s">
        <v>39</v>
      </c>
      <c r="AD238">
        <v>36814.379999999997</v>
      </c>
      <c r="AE238" t="b">
        <v>0</v>
      </c>
      <c r="AF238">
        <v>2896826.08</v>
      </c>
    </row>
    <row r="239" spans="1:32" x14ac:dyDescent="0.3">
      <c r="A239" t="s">
        <v>601</v>
      </c>
      <c r="B239" t="s">
        <v>602</v>
      </c>
      <c r="C239" t="s">
        <v>42</v>
      </c>
      <c r="D239" t="s">
        <v>31</v>
      </c>
      <c r="E239">
        <v>600000</v>
      </c>
      <c r="F239">
        <v>48</v>
      </c>
      <c r="G239">
        <v>8.5500000000000007</v>
      </c>
      <c r="H239">
        <v>530441.41</v>
      </c>
      <c r="I239">
        <v>24</v>
      </c>
      <c r="J239">
        <v>0</v>
      </c>
      <c r="K239">
        <v>0</v>
      </c>
      <c r="L239">
        <v>1</v>
      </c>
      <c r="M239">
        <v>142117484.08000001</v>
      </c>
      <c r="N239" s="1">
        <v>45596</v>
      </c>
      <c r="O239" t="s">
        <v>139</v>
      </c>
      <c r="P239" t="s">
        <v>33</v>
      </c>
      <c r="Q239" s="1">
        <v>45477</v>
      </c>
      <c r="R239" t="s">
        <v>94</v>
      </c>
      <c r="S239" t="s">
        <v>95</v>
      </c>
      <c r="T239">
        <v>2024</v>
      </c>
      <c r="U239">
        <v>743</v>
      </c>
      <c r="V239">
        <v>737</v>
      </c>
      <c r="W239" t="s">
        <v>63</v>
      </c>
      <c r="X239">
        <v>3593000</v>
      </c>
      <c r="Y239">
        <v>4.9399999999999999E-2</v>
      </c>
      <c r="Z239">
        <v>23</v>
      </c>
      <c r="AA239" t="s">
        <v>162</v>
      </c>
      <c r="AB239" t="s">
        <v>38</v>
      </c>
      <c r="AC239" t="s">
        <v>54</v>
      </c>
      <c r="AD239">
        <v>14803.15</v>
      </c>
      <c r="AE239" t="b">
        <v>0</v>
      </c>
      <c r="AF239">
        <v>817808.2</v>
      </c>
    </row>
    <row r="240" spans="1:32" x14ac:dyDescent="0.3">
      <c r="A240" t="s">
        <v>603</v>
      </c>
      <c r="B240" t="s">
        <v>604</v>
      </c>
      <c r="C240" t="s">
        <v>30</v>
      </c>
      <c r="D240" t="s">
        <v>31</v>
      </c>
      <c r="E240">
        <v>656400</v>
      </c>
      <c r="F240">
        <v>60</v>
      </c>
      <c r="G240">
        <v>12.9</v>
      </c>
      <c r="H240">
        <v>188348.75</v>
      </c>
      <c r="I240">
        <v>0</v>
      </c>
      <c r="J240">
        <v>0</v>
      </c>
      <c r="K240">
        <v>0</v>
      </c>
      <c r="L240">
        <v>1</v>
      </c>
      <c r="M240">
        <v>142117484.08000001</v>
      </c>
      <c r="N240" s="1">
        <v>45596</v>
      </c>
      <c r="O240" t="s">
        <v>32</v>
      </c>
      <c r="P240" t="s">
        <v>44</v>
      </c>
      <c r="Q240" s="1">
        <v>44276</v>
      </c>
      <c r="R240" t="s">
        <v>99</v>
      </c>
      <c r="S240" t="s">
        <v>219</v>
      </c>
      <c r="T240">
        <v>2021</v>
      </c>
      <c r="U240">
        <v>744</v>
      </c>
      <c r="V240">
        <v>701</v>
      </c>
      <c r="W240" t="s">
        <v>70</v>
      </c>
      <c r="X240">
        <v>3284000</v>
      </c>
      <c r="Y240">
        <v>5.45E-2</v>
      </c>
      <c r="Z240">
        <v>57</v>
      </c>
      <c r="AA240" t="s">
        <v>37</v>
      </c>
      <c r="AB240" t="s">
        <v>38</v>
      </c>
      <c r="AC240" t="s">
        <v>39</v>
      </c>
      <c r="AD240">
        <v>14901.54</v>
      </c>
      <c r="AE240" t="b">
        <v>0</v>
      </c>
      <c r="AF240">
        <v>389696.39</v>
      </c>
    </row>
    <row r="241" spans="1:32" x14ac:dyDescent="0.3">
      <c r="A241" t="s">
        <v>605</v>
      </c>
      <c r="B241" t="s">
        <v>606</v>
      </c>
      <c r="C241" t="s">
        <v>98</v>
      </c>
      <c r="D241" t="s">
        <v>31</v>
      </c>
      <c r="E241">
        <v>1138900</v>
      </c>
      <c r="F241">
        <v>36</v>
      </c>
      <c r="G241">
        <v>10.75</v>
      </c>
      <c r="H241">
        <v>372600.52</v>
      </c>
      <c r="I241">
        <v>0</v>
      </c>
      <c r="J241">
        <v>0</v>
      </c>
      <c r="K241">
        <v>0</v>
      </c>
      <c r="L241">
        <v>1</v>
      </c>
      <c r="M241">
        <v>142117484.08000001</v>
      </c>
      <c r="N241" s="1">
        <v>45596</v>
      </c>
      <c r="O241" t="s">
        <v>32</v>
      </c>
      <c r="P241" t="s">
        <v>33</v>
      </c>
      <c r="Q241" s="1">
        <v>44887</v>
      </c>
      <c r="R241" t="s">
        <v>45</v>
      </c>
      <c r="S241" t="s">
        <v>107</v>
      </c>
      <c r="T241">
        <v>2022</v>
      </c>
      <c r="U241">
        <v>744</v>
      </c>
      <c r="V241">
        <v>726</v>
      </c>
      <c r="W241" t="s">
        <v>36</v>
      </c>
      <c r="X241">
        <v>3237000</v>
      </c>
      <c r="Y241">
        <v>0.13769999999999999</v>
      </c>
      <c r="Z241">
        <v>52</v>
      </c>
      <c r="AA241" t="s">
        <v>148</v>
      </c>
      <c r="AB241" t="s">
        <v>38</v>
      </c>
      <c r="AC241" t="s">
        <v>39</v>
      </c>
      <c r="AD241">
        <v>37151.43</v>
      </c>
      <c r="AE241" t="b">
        <v>0</v>
      </c>
      <c r="AF241">
        <v>995654.98</v>
      </c>
    </row>
    <row r="242" spans="1:32" x14ac:dyDescent="0.3">
      <c r="A242" t="s">
        <v>607</v>
      </c>
      <c r="B242" t="s">
        <v>608</v>
      </c>
      <c r="C242" t="s">
        <v>30</v>
      </c>
      <c r="D242" t="s">
        <v>31</v>
      </c>
      <c r="E242">
        <v>905300</v>
      </c>
      <c r="F242">
        <v>36</v>
      </c>
      <c r="G242">
        <v>9.3800000000000008</v>
      </c>
      <c r="H242">
        <v>562904.81999999995</v>
      </c>
      <c r="I242">
        <v>60</v>
      </c>
      <c r="J242">
        <v>0</v>
      </c>
      <c r="K242">
        <v>0</v>
      </c>
      <c r="L242">
        <v>2</v>
      </c>
      <c r="M242">
        <v>142117484.08000001</v>
      </c>
      <c r="N242" s="1">
        <v>45596</v>
      </c>
      <c r="O242" t="s">
        <v>122</v>
      </c>
      <c r="P242" t="s">
        <v>44</v>
      </c>
      <c r="Q242" s="1">
        <v>45160</v>
      </c>
      <c r="R242" t="s">
        <v>85</v>
      </c>
      <c r="S242" t="s">
        <v>86</v>
      </c>
      <c r="T242">
        <v>2023</v>
      </c>
      <c r="U242">
        <v>744</v>
      </c>
      <c r="V242">
        <v>716</v>
      </c>
      <c r="W242" t="s">
        <v>70</v>
      </c>
      <c r="X242">
        <v>2901000</v>
      </c>
      <c r="Y242">
        <v>0.1197</v>
      </c>
      <c r="Z242">
        <v>30</v>
      </c>
      <c r="AA242" t="s">
        <v>226</v>
      </c>
      <c r="AB242" t="s">
        <v>38</v>
      </c>
      <c r="AC242" t="s">
        <v>81</v>
      </c>
      <c r="AD242">
        <v>28948.67</v>
      </c>
      <c r="AE242" t="b">
        <v>0</v>
      </c>
      <c r="AF242">
        <v>1192374.6599999999</v>
      </c>
    </row>
    <row r="243" spans="1:32" x14ac:dyDescent="0.3">
      <c r="A243" t="s">
        <v>609</v>
      </c>
      <c r="B243" t="s">
        <v>610</v>
      </c>
      <c r="C243" t="s">
        <v>98</v>
      </c>
      <c r="D243" t="s">
        <v>31</v>
      </c>
      <c r="E243">
        <v>649900</v>
      </c>
      <c r="F243">
        <v>36</v>
      </c>
      <c r="G243">
        <v>10.01</v>
      </c>
      <c r="H243">
        <v>579549.74</v>
      </c>
      <c r="I243">
        <v>0</v>
      </c>
      <c r="J243">
        <v>0</v>
      </c>
      <c r="K243">
        <v>0</v>
      </c>
      <c r="L243">
        <v>1</v>
      </c>
      <c r="M243">
        <v>142117484.08000001</v>
      </c>
      <c r="N243" s="1">
        <v>45596</v>
      </c>
      <c r="O243" t="s">
        <v>32</v>
      </c>
      <c r="P243" t="s">
        <v>44</v>
      </c>
      <c r="Q243" s="1">
        <v>45450</v>
      </c>
      <c r="R243" t="s">
        <v>45</v>
      </c>
      <c r="S243" t="s">
        <v>107</v>
      </c>
      <c r="T243">
        <v>2024</v>
      </c>
      <c r="U243">
        <v>745</v>
      </c>
      <c r="V243">
        <v>718</v>
      </c>
      <c r="W243" t="s">
        <v>70</v>
      </c>
      <c r="X243">
        <v>3646000</v>
      </c>
      <c r="Y243">
        <v>6.9000000000000006E-2</v>
      </c>
      <c r="Z243">
        <v>30</v>
      </c>
      <c r="AA243" t="s">
        <v>37</v>
      </c>
      <c r="AB243" t="s">
        <v>38</v>
      </c>
      <c r="AC243" t="s">
        <v>39</v>
      </c>
      <c r="AD243">
        <v>20973.5</v>
      </c>
      <c r="AE243" t="b">
        <v>0</v>
      </c>
      <c r="AF243">
        <v>974829.58</v>
      </c>
    </row>
    <row r="244" spans="1:32" x14ac:dyDescent="0.3">
      <c r="A244" t="s">
        <v>611</v>
      </c>
      <c r="B244" t="s">
        <v>612</v>
      </c>
      <c r="C244" t="s">
        <v>98</v>
      </c>
      <c r="D244" t="s">
        <v>31</v>
      </c>
      <c r="E244">
        <v>1120000</v>
      </c>
      <c r="F244">
        <v>60</v>
      </c>
      <c r="G244">
        <v>13.38</v>
      </c>
      <c r="H244">
        <v>310051.38</v>
      </c>
      <c r="I244">
        <v>0</v>
      </c>
      <c r="J244">
        <v>0</v>
      </c>
      <c r="K244">
        <v>0</v>
      </c>
      <c r="L244">
        <v>1</v>
      </c>
      <c r="M244">
        <v>142117484.08000001</v>
      </c>
      <c r="N244" s="1">
        <v>45596</v>
      </c>
      <c r="O244" t="s">
        <v>32</v>
      </c>
      <c r="P244" t="s">
        <v>44</v>
      </c>
      <c r="Q244" s="1">
        <v>44283</v>
      </c>
      <c r="R244" t="s">
        <v>45</v>
      </c>
      <c r="S244" t="s">
        <v>107</v>
      </c>
      <c r="T244">
        <v>2021</v>
      </c>
      <c r="U244">
        <v>745</v>
      </c>
      <c r="V244">
        <v>709</v>
      </c>
      <c r="W244" t="s">
        <v>70</v>
      </c>
      <c r="X244">
        <v>2082000</v>
      </c>
      <c r="Y244">
        <v>0.14810000000000001</v>
      </c>
      <c r="Z244">
        <v>52</v>
      </c>
      <c r="AA244" t="s">
        <v>126</v>
      </c>
      <c r="AB244" t="s">
        <v>38</v>
      </c>
      <c r="AC244" t="s">
        <v>81</v>
      </c>
      <c r="AD244">
        <v>25701.84</v>
      </c>
      <c r="AE244" t="b">
        <v>0</v>
      </c>
      <c r="AF244">
        <v>873308.52</v>
      </c>
    </row>
    <row r="245" spans="1:32" x14ac:dyDescent="0.3">
      <c r="A245" t="s">
        <v>613</v>
      </c>
      <c r="B245" t="s">
        <v>614</v>
      </c>
      <c r="C245" t="s">
        <v>42</v>
      </c>
      <c r="D245" t="s">
        <v>31</v>
      </c>
      <c r="E245">
        <v>918900</v>
      </c>
      <c r="F245">
        <v>72</v>
      </c>
      <c r="G245">
        <v>12.21</v>
      </c>
      <c r="H245">
        <v>481860.33</v>
      </c>
      <c r="I245">
        <v>0</v>
      </c>
      <c r="J245">
        <v>0</v>
      </c>
      <c r="K245">
        <v>0</v>
      </c>
      <c r="L245">
        <v>1</v>
      </c>
      <c r="M245">
        <v>142117484.08000001</v>
      </c>
      <c r="N245" s="1">
        <v>45596</v>
      </c>
      <c r="O245" t="s">
        <v>32</v>
      </c>
      <c r="P245" t="s">
        <v>50</v>
      </c>
      <c r="Q245" s="1">
        <v>44626</v>
      </c>
      <c r="R245" t="s">
        <v>68</v>
      </c>
      <c r="S245" t="s">
        <v>69</v>
      </c>
      <c r="T245">
        <v>2022</v>
      </c>
      <c r="U245">
        <v>746</v>
      </c>
      <c r="V245">
        <v>705</v>
      </c>
      <c r="W245" t="s">
        <v>36</v>
      </c>
      <c r="X245">
        <v>3747000</v>
      </c>
      <c r="Y245">
        <v>5.79E-2</v>
      </c>
      <c r="Z245">
        <v>39</v>
      </c>
      <c r="AA245" t="s">
        <v>37</v>
      </c>
      <c r="AB245" t="s">
        <v>38</v>
      </c>
      <c r="AC245" t="s">
        <v>81</v>
      </c>
      <c r="AD245">
        <v>18065.18</v>
      </c>
      <c r="AE245" t="b">
        <v>0</v>
      </c>
      <c r="AF245">
        <v>718216.53</v>
      </c>
    </row>
    <row r="246" spans="1:32" x14ac:dyDescent="0.3">
      <c r="A246" t="s">
        <v>615</v>
      </c>
      <c r="B246" t="s">
        <v>616</v>
      </c>
      <c r="C246" t="s">
        <v>42</v>
      </c>
      <c r="D246" t="s">
        <v>31</v>
      </c>
      <c r="E246">
        <v>311400</v>
      </c>
      <c r="F246">
        <v>84</v>
      </c>
      <c r="G246">
        <v>13.02</v>
      </c>
      <c r="H246">
        <v>308090.93</v>
      </c>
      <c r="I246">
        <v>52</v>
      </c>
      <c r="J246">
        <v>0</v>
      </c>
      <c r="K246">
        <v>0</v>
      </c>
      <c r="L246">
        <v>2</v>
      </c>
      <c r="M246">
        <v>142117484.08000001</v>
      </c>
      <c r="N246" s="1">
        <v>45596</v>
      </c>
      <c r="O246" t="s">
        <v>116</v>
      </c>
      <c r="P246" t="s">
        <v>74</v>
      </c>
      <c r="Q246" s="1">
        <v>45517</v>
      </c>
      <c r="R246" t="s">
        <v>89</v>
      </c>
      <c r="S246" t="s">
        <v>183</v>
      </c>
      <c r="T246">
        <v>2024</v>
      </c>
      <c r="U246">
        <v>746</v>
      </c>
      <c r="V246">
        <v>741</v>
      </c>
      <c r="W246" t="s">
        <v>63</v>
      </c>
      <c r="X246">
        <v>400000</v>
      </c>
      <c r="Y246">
        <v>0.1701</v>
      </c>
      <c r="Z246">
        <v>50</v>
      </c>
      <c r="AA246" t="s">
        <v>71</v>
      </c>
      <c r="AB246" t="s">
        <v>38</v>
      </c>
      <c r="AC246" t="s">
        <v>81</v>
      </c>
      <c r="AD246">
        <v>5668.36</v>
      </c>
      <c r="AE246" t="b">
        <v>0</v>
      </c>
      <c r="AF246">
        <v>427804.69</v>
      </c>
    </row>
    <row r="247" spans="1:32" x14ac:dyDescent="0.3">
      <c r="A247" t="s">
        <v>617</v>
      </c>
      <c r="B247" t="s">
        <v>618</v>
      </c>
      <c r="C247" t="s">
        <v>98</v>
      </c>
      <c r="D247" t="s">
        <v>31</v>
      </c>
      <c r="E247">
        <v>912400</v>
      </c>
      <c r="F247">
        <v>48</v>
      </c>
      <c r="G247">
        <v>9.4499999999999993</v>
      </c>
      <c r="H247">
        <v>134973.19</v>
      </c>
      <c r="I247">
        <v>0</v>
      </c>
      <c r="J247">
        <v>0</v>
      </c>
      <c r="K247">
        <v>50349.94</v>
      </c>
      <c r="L247">
        <v>1</v>
      </c>
      <c r="M247">
        <v>142117484.08000001</v>
      </c>
      <c r="N247" s="1">
        <v>45596</v>
      </c>
      <c r="O247" t="s">
        <v>32</v>
      </c>
      <c r="P247" t="s">
        <v>74</v>
      </c>
      <c r="Q247" s="1">
        <v>44325</v>
      </c>
      <c r="R247" t="s">
        <v>89</v>
      </c>
      <c r="S247" t="s">
        <v>183</v>
      </c>
      <c r="T247">
        <v>2021</v>
      </c>
      <c r="U247">
        <v>746</v>
      </c>
      <c r="V247">
        <v>756</v>
      </c>
      <c r="W247" t="s">
        <v>57</v>
      </c>
      <c r="X247">
        <v>2077000</v>
      </c>
      <c r="Y247">
        <v>0.1323</v>
      </c>
      <c r="Z247">
        <v>50</v>
      </c>
      <c r="AA247" t="s">
        <v>53</v>
      </c>
      <c r="AB247" t="s">
        <v>38</v>
      </c>
      <c r="AC247" t="s">
        <v>54</v>
      </c>
      <c r="AD247">
        <v>22900.57</v>
      </c>
      <c r="AE247" t="b">
        <v>0</v>
      </c>
      <c r="AF247">
        <v>525859.91</v>
      </c>
    </row>
    <row r="248" spans="1:32" x14ac:dyDescent="0.3">
      <c r="A248" t="s">
        <v>619</v>
      </c>
      <c r="B248" t="s">
        <v>620</v>
      </c>
      <c r="C248" t="s">
        <v>67</v>
      </c>
      <c r="D248" t="s">
        <v>31</v>
      </c>
      <c r="E248">
        <v>639000</v>
      </c>
      <c r="F248">
        <v>36</v>
      </c>
      <c r="G248">
        <v>9.11</v>
      </c>
      <c r="H248">
        <v>0</v>
      </c>
      <c r="I248">
        <v>32</v>
      </c>
      <c r="J248">
        <v>0</v>
      </c>
      <c r="K248">
        <v>0</v>
      </c>
      <c r="L248">
        <v>2</v>
      </c>
      <c r="M248">
        <v>142117484.08000001</v>
      </c>
      <c r="N248" s="1">
        <v>45596</v>
      </c>
      <c r="O248" t="s">
        <v>116</v>
      </c>
      <c r="P248" t="s">
        <v>44</v>
      </c>
      <c r="Q248" s="1">
        <v>44270</v>
      </c>
      <c r="R248" t="s">
        <v>171</v>
      </c>
      <c r="S248" t="s">
        <v>381</v>
      </c>
      <c r="T248">
        <v>2021</v>
      </c>
      <c r="U248">
        <v>746</v>
      </c>
      <c r="V248">
        <v>747</v>
      </c>
      <c r="W248" t="s">
        <v>36</v>
      </c>
      <c r="X248">
        <v>4177000</v>
      </c>
      <c r="Y248">
        <v>5.8500000000000003E-2</v>
      </c>
      <c r="Z248">
        <v>27</v>
      </c>
      <c r="AA248" t="s">
        <v>71</v>
      </c>
      <c r="AB248" t="s">
        <v>38</v>
      </c>
      <c r="AC248" t="s">
        <v>81</v>
      </c>
      <c r="AD248">
        <v>20352.759999999998</v>
      </c>
      <c r="AE248" t="b">
        <v>0</v>
      </c>
      <c r="AF248">
        <v>416069.38</v>
      </c>
    </row>
    <row r="249" spans="1:32" x14ac:dyDescent="0.3">
      <c r="A249" t="s">
        <v>621</v>
      </c>
      <c r="B249" t="s">
        <v>622</v>
      </c>
      <c r="C249" t="s">
        <v>42</v>
      </c>
      <c r="D249" t="s">
        <v>84</v>
      </c>
      <c r="E249">
        <v>299600</v>
      </c>
      <c r="F249">
        <v>60</v>
      </c>
      <c r="G249">
        <v>10.16</v>
      </c>
      <c r="H249">
        <v>299600</v>
      </c>
      <c r="I249">
        <v>26</v>
      </c>
      <c r="J249">
        <v>0</v>
      </c>
      <c r="K249">
        <v>0</v>
      </c>
      <c r="L249">
        <v>1</v>
      </c>
      <c r="M249">
        <v>142117484.08000001</v>
      </c>
      <c r="N249" s="1">
        <v>45596</v>
      </c>
      <c r="O249" t="s">
        <v>139</v>
      </c>
      <c r="P249" t="s">
        <v>74</v>
      </c>
      <c r="Q249" s="1">
        <v>45541</v>
      </c>
      <c r="R249" t="s">
        <v>68</v>
      </c>
      <c r="S249" t="s">
        <v>205</v>
      </c>
      <c r="T249">
        <v>2019</v>
      </c>
      <c r="U249">
        <v>746</v>
      </c>
      <c r="V249">
        <v>738</v>
      </c>
      <c r="W249" t="s">
        <v>57</v>
      </c>
      <c r="X249">
        <v>1103000</v>
      </c>
      <c r="Y249">
        <v>6.9500000000000006E-2</v>
      </c>
      <c r="Z249">
        <v>46</v>
      </c>
      <c r="AA249" t="s">
        <v>126</v>
      </c>
      <c r="AB249" t="s">
        <v>38</v>
      </c>
      <c r="AC249" t="s">
        <v>81</v>
      </c>
      <c r="AD249">
        <v>6389.23</v>
      </c>
      <c r="AE249" t="b">
        <v>0</v>
      </c>
      <c r="AF249">
        <v>327111.14</v>
      </c>
    </row>
    <row r="250" spans="1:32" x14ac:dyDescent="0.3">
      <c r="A250" t="s">
        <v>623</v>
      </c>
      <c r="B250" t="s">
        <v>624</v>
      </c>
      <c r="C250" t="s">
        <v>30</v>
      </c>
      <c r="D250" t="s">
        <v>31</v>
      </c>
      <c r="E250">
        <v>675900</v>
      </c>
      <c r="F250">
        <v>36</v>
      </c>
      <c r="G250">
        <v>8.1199999999999992</v>
      </c>
      <c r="H250">
        <v>303730.59000000003</v>
      </c>
      <c r="I250">
        <v>0</v>
      </c>
      <c r="J250">
        <v>0</v>
      </c>
      <c r="K250">
        <v>0</v>
      </c>
      <c r="L250">
        <v>1</v>
      </c>
      <c r="M250">
        <v>142117484.08000001</v>
      </c>
      <c r="N250" s="1">
        <v>45596</v>
      </c>
      <c r="O250" t="s">
        <v>32</v>
      </c>
      <c r="P250" t="s">
        <v>44</v>
      </c>
      <c r="Q250" s="1">
        <v>44978</v>
      </c>
      <c r="R250" t="s">
        <v>94</v>
      </c>
      <c r="S250" t="s">
        <v>117</v>
      </c>
      <c r="T250">
        <v>2023</v>
      </c>
      <c r="U250">
        <v>747</v>
      </c>
      <c r="V250">
        <v>770</v>
      </c>
      <c r="W250" t="s">
        <v>36</v>
      </c>
      <c r="X250">
        <v>1979000</v>
      </c>
      <c r="Y250">
        <v>0.12870000000000001</v>
      </c>
      <c r="Z250">
        <v>30</v>
      </c>
      <c r="AA250" t="s">
        <v>47</v>
      </c>
      <c r="AB250" t="s">
        <v>38</v>
      </c>
      <c r="AC250" t="s">
        <v>54</v>
      </c>
      <c r="AD250">
        <v>21217.69</v>
      </c>
      <c r="AE250" t="b">
        <v>0</v>
      </c>
      <c r="AF250">
        <v>781240.43</v>
      </c>
    </row>
    <row r="251" spans="1:32" x14ac:dyDescent="0.3">
      <c r="A251" t="s">
        <v>625</v>
      </c>
      <c r="B251" t="s">
        <v>626</v>
      </c>
      <c r="C251" t="s">
        <v>98</v>
      </c>
      <c r="D251" t="s">
        <v>31</v>
      </c>
      <c r="E251">
        <v>1309800</v>
      </c>
      <c r="F251">
        <v>36</v>
      </c>
      <c r="G251">
        <v>14.14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142117484.08000001</v>
      </c>
      <c r="N251" s="1">
        <v>45596</v>
      </c>
      <c r="O251" t="s">
        <v>32</v>
      </c>
      <c r="P251" t="s">
        <v>33</v>
      </c>
      <c r="Q251" s="1">
        <v>44290</v>
      </c>
      <c r="R251" t="s">
        <v>51</v>
      </c>
      <c r="S251" t="s">
        <v>52</v>
      </c>
      <c r="T251">
        <v>2021</v>
      </c>
      <c r="U251">
        <v>747</v>
      </c>
      <c r="V251">
        <v>708</v>
      </c>
      <c r="W251" t="s">
        <v>57</v>
      </c>
      <c r="X251">
        <v>455000</v>
      </c>
      <c r="Y251">
        <v>1.1830000000000001</v>
      </c>
      <c r="Z251">
        <v>33</v>
      </c>
      <c r="AA251" t="s">
        <v>233</v>
      </c>
      <c r="AB251" t="s">
        <v>38</v>
      </c>
      <c r="AC251" t="s">
        <v>39</v>
      </c>
      <c r="AD251">
        <v>44854.97</v>
      </c>
      <c r="AE251" t="b">
        <v>0</v>
      </c>
      <c r="AF251">
        <v>897436.9</v>
      </c>
    </row>
    <row r="252" spans="1:32" x14ac:dyDescent="0.3">
      <c r="A252" t="s">
        <v>627</v>
      </c>
      <c r="B252" t="s">
        <v>628</v>
      </c>
      <c r="C252" t="s">
        <v>103</v>
      </c>
      <c r="D252" t="s">
        <v>84</v>
      </c>
      <c r="E252">
        <v>479500</v>
      </c>
      <c r="F252">
        <v>72</v>
      </c>
      <c r="G252">
        <v>11.78</v>
      </c>
      <c r="H252">
        <v>311026.19</v>
      </c>
      <c r="I252">
        <v>0</v>
      </c>
      <c r="J252">
        <v>0</v>
      </c>
      <c r="K252">
        <v>0</v>
      </c>
      <c r="L252">
        <v>1</v>
      </c>
      <c r="M252">
        <v>142117484.08000001</v>
      </c>
      <c r="N252" s="1">
        <v>45596</v>
      </c>
      <c r="O252" t="s">
        <v>32</v>
      </c>
      <c r="P252" t="s">
        <v>33</v>
      </c>
      <c r="Q252" s="1">
        <v>44778</v>
      </c>
      <c r="R252" t="s">
        <v>94</v>
      </c>
      <c r="S252" t="s">
        <v>117</v>
      </c>
      <c r="T252">
        <v>2020</v>
      </c>
      <c r="U252">
        <v>748</v>
      </c>
      <c r="V252">
        <v>761</v>
      </c>
      <c r="W252" t="s">
        <v>63</v>
      </c>
      <c r="X252">
        <v>3676000</v>
      </c>
      <c r="Y252">
        <v>3.04E-2</v>
      </c>
      <c r="Z252">
        <v>50</v>
      </c>
      <c r="AA252" t="s">
        <v>80</v>
      </c>
      <c r="AB252" t="s">
        <v>38</v>
      </c>
      <c r="AC252" t="s">
        <v>39</v>
      </c>
      <c r="AD252">
        <v>9319.5499999999993</v>
      </c>
      <c r="AE252" t="b">
        <v>0</v>
      </c>
      <c r="AF252">
        <v>552493.78</v>
      </c>
    </row>
    <row r="253" spans="1:32" x14ac:dyDescent="0.3">
      <c r="A253" t="s">
        <v>629</v>
      </c>
      <c r="B253" t="s">
        <v>630</v>
      </c>
      <c r="C253" t="s">
        <v>67</v>
      </c>
      <c r="D253" t="s">
        <v>31</v>
      </c>
      <c r="E253">
        <v>1918800</v>
      </c>
      <c r="F253">
        <v>72</v>
      </c>
      <c r="G253">
        <v>14.22</v>
      </c>
      <c r="H253">
        <v>903535.5</v>
      </c>
      <c r="I253">
        <v>0</v>
      </c>
      <c r="J253">
        <v>0</v>
      </c>
      <c r="K253">
        <v>0</v>
      </c>
      <c r="L253">
        <v>1</v>
      </c>
      <c r="M253">
        <v>142117484.08000001</v>
      </c>
      <c r="N253" s="1">
        <v>45596</v>
      </c>
      <c r="O253" t="s">
        <v>32</v>
      </c>
      <c r="P253" t="s">
        <v>44</v>
      </c>
      <c r="Q253" s="1">
        <v>44497</v>
      </c>
      <c r="R253" t="s">
        <v>61</v>
      </c>
      <c r="S253" t="s">
        <v>136</v>
      </c>
      <c r="T253">
        <v>2021</v>
      </c>
      <c r="U253">
        <v>748</v>
      </c>
      <c r="V253">
        <v>743</v>
      </c>
      <c r="W253" t="s">
        <v>63</v>
      </c>
      <c r="X253">
        <v>1155000</v>
      </c>
      <c r="Y253">
        <v>0.41310000000000002</v>
      </c>
      <c r="Z253">
        <v>45</v>
      </c>
      <c r="AA253" t="s">
        <v>233</v>
      </c>
      <c r="AB253" t="s">
        <v>38</v>
      </c>
      <c r="AC253" t="s">
        <v>54</v>
      </c>
      <c r="AD253">
        <v>39764.69</v>
      </c>
      <c r="AE253" t="b">
        <v>0</v>
      </c>
      <c r="AF253">
        <v>1713183.18</v>
      </c>
    </row>
    <row r="254" spans="1:32" x14ac:dyDescent="0.3">
      <c r="A254" t="s">
        <v>631</v>
      </c>
      <c r="B254" t="s">
        <v>632</v>
      </c>
      <c r="C254" t="s">
        <v>67</v>
      </c>
      <c r="D254" t="s">
        <v>31</v>
      </c>
      <c r="E254">
        <v>1620900</v>
      </c>
      <c r="F254">
        <v>72</v>
      </c>
      <c r="G254">
        <v>10.42</v>
      </c>
      <c r="H254">
        <v>1431926.61</v>
      </c>
      <c r="I254">
        <v>0</v>
      </c>
      <c r="J254">
        <v>0</v>
      </c>
      <c r="K254">
        <v>0</v>
      </c>
      <c r="L254">
        <v>1</v>
      </c>
      <c r="M254">
        <v>142117484.08000001</v>
      </c>
      <c r="N254" s="1">
        <v>45596</v>
      </c>
      <c r="O254" t="s">
        <v>32</v>
      </c>
      <c r="P254" t="s">
        <v>33</v>
      </c>
      <c r="Q254" s="1">
        <v>45402</v>
      </c>
      <c r="R254" t="s">
        <v>68</v>
      </c>
      <c r="S254" t="s">
        <v>69</v>
      </c>
      <c r="T254">
        <v>2024</v>
      </c>
      <c r="U254">
        <v>749</v>
      </c>
      <c r="V254">
        <v>700</v>
      </c>
      <c r="W254" t="s">
        <v>70</v>
      </c>
      <c r="X254">
        <v>865000</v>
      </c>
      <c r="Y254">
        <v>0.4214</v>
      </c>
      <c r="Z254">
        <v>40</v>
      </c>
      <c r="AA254" t="s">
        <v>108</v>
      </c>
      <c r="AB254" t="s">
        <v>38</v>
      </c>
      <c r="AC254" t="s">
        <v>81</v>
      </c>
      <c r="AD254">
        <v>30372.97</v>
      </c>
      <c r="AE254" t="b">
        <v>0</v>
      </c>
      <c r="AF254">
        <v>1671983.17</v>
      </c>
    </row>
    <row r="255" spans="1:32" x14ac:dyDescent="0.3">
      <c r="A255" t="s">
        <v>633</v>
      </c>
      <c r="B255" t="s">
        <v>634</v>
      </c>
      <c r="C255" t="s">
        <v>98</v>
      </c>
      <c r="D255" t="s">
        <v>31</v>
      </c>
      <c r="E255">
        <v>1274200</v>
      </c>
      <c r="F255">
        <v>60</v>
      </c>
      <c r="G255">
        <v>10.09</v>
      </c>
      <c r="H255">
        <v>371831.45</v>
      </c>
      <c r="I255">
        <v>0</v>
      </c>
      <c r="J255">
        <v>0</v>
      </c>
      <c r="K255">
        <v>0</v>
      </c>
      <c r="L255">
        <v>1</v>
      </c>
      <c r="M255">
        <v>142117484.08000001</v>
      </c>
      <c r="N255" s="1">
        <v>45596</v>
      </c>
      <c r="O255" t="s">
        <v>32</v>
      </c>
      <c r="P255" t="s">
        <v>33</v>
      </c>
      <c r="Q255" s="1">
        <v>44330</v>
      </c>
      <c r="R255" t="s">
        <v>85</v>
      </c>
      <c r="S255" t="s">
        <v>440</v>
      </c>
      <c r="T255">
        <v>2021</v>
      </c>
      <c r="U255">
        <v>749</v>
      </c>
      <c r="V255">
        <v>771</v>
      </c>
      <c r="W255" t="s">
        <v>57</v>
      </c>
      <c r="X255">
        <v>1863000</v>
      </c>
      <c r="Y255">
        <v>0.17469999999999999</v>
      </c>
      <c r="Z255">
        <v>39</v>
      </c>
      <c r="AA255" t="s">
        <v>64</v>
      </c>
      <c r="AB255" t="s">
        <v>38</v>
      </c>
      <c r="AC255" t="s">
        <v>81</v>
      </c>
      <c r="AD255">
        <v>27129.45</v>
      </c>
      <c r="AE255" t="b">
        <v>0</v>
      </c>
      <c r="AF255">
        <v>751500.17</v>
      </c>
    </row>
    <row r="256" spans="1:32" x14ac:dyDescent="0.3">
      <c r="A256" t="s">
        <v>635</v>
      </c>
      <c r="B256" t="s">
        <v>636</v>
      </c>
      <c r="C256" t="s">
        <v>30</v>
      </c>
      <c r="D256" t="s">
        <v>43</v>
      </c>
      <c r="E256">
        <v>393700</v>
      </c>
      <c r="F256">
        <v>72</v>
      </c>
      <c r="G256">
        <v>14.16</v>
      </c>
      <c r="H256">
        <v>205425.1</v>
      </c>
      <c r="I256">
        <v>0</v>
      </c>
      <c r="J256">
        <v>0</v>
      </c>
      <c r="K256">
        <v>0</v>
      </c>
      <c r="L256">
        <v>1</v>
      </c>
      <c r="M256">
        <v>142117484.08000001</v>
      </c>
      <c r="N256" s="1">
        <v>45596</v>
      </c>
      <c r="O256" t="s">
        <v>32</v>
      </c>
      <c r="P256" t="s">
        <v>33</v>
      </c>
      <c r="Q256" s="1">
        <v>44588</v>
      </c>
      <c r="R256" t="s">
        <v>171</v>
      </c>
      <c r="S256" t="s">
        <v>398</v>
      </c>
      <c r="T256">
        <v>2021</v>
      </c>
      <c r="U256">
        <v>749</v>
      </c>
      <c r="V256">
        <v>746</v>
      </c>
      <c r="W256" t="s">
        <v>57</v>
      </c>
      <c r="X256">
        <v>1181000</v>
      </c>
      <c r="Y256">
        <v>8.2799999999999999E-2</v>
      </c>
      <c r="Z256">
        <v>49</v>
      </c>
      <c r="AA256" t="s">
        <v>71</v>
      </c>
      <c r="AB256" t="s">
        <v>38</v>
      </c>
      <c r="AC256" t="s">
        <v>39</v>
      </c>
      <c r="AD256">
        <v>8146.25</v>
      </c>
      <c r="AE256" t="b">
        <v>0</v>
      </c>
      <c r="AF256">
        <v>394872.54</v>
      </c>
    </row>
    <row r="257" spans="1:32" x14ac:dyDescent="0.3">
      <c r="A257" t="s">
        <v>637</v>
      </c>
      <c r="B257" t="s">
        <v>638</v>
      </c>
      <c r="C257" t="s">
        <v>42</v>
      </c>
      <c r="D257" t="s">
        <v>31</v>
      </c>
      <c r="E257">
        <v>255700</v>
      </c>
      <c r="F257">
        <v>48</v>
      </c>
      <c r="G257">
        <v>13.25</v>
      </c>
      <c r="H257">
        <v>140079.88</v>
      </c>
      <c r="I257">
        <v>0</v>
      </c>
      <c r="J257">
        <v>0</v>
      </c>
      <c r="K257">
        <v>0</v>
      </c>
      <c r="L257">
        <v>1</v>
      </c>
      <c r="M257">
        <v>142117484.08000001</v>
      </c>
      <c r="N257" s="1">
        <v>45596</v>
      </c>
      <c r="O257" t="s">
        <v>32</v>
      </c>
      <c r="P257" t="s">
        <v>33</v>
      </c>
      <c r="Q257" s="1">
        <v>44924</v>
      </c>
      <c r="R257" t="s">
        <v>51</v>
      </c>
      <c r="S257" t="s">
        <v>194</v>
      </c>
      <c r="T257">
        <v>2022</v>
      </c>
      <c r="U257">
        <v>750</v>
      </c>
      <c r="V257">
        <v>727</v>
      </c>
      <c r="W257" t="s">
        <v>36</v>
      </c>
      <c r="X257">
        <v>1425000</v>
      </c>
      <c r="Y257">
        <v>5.8000000000000003E-2</v>
      </c>
      <c r="Z257">
        <v>29</v>
      </c>
      <c r="AA257" t="s">
        <v>80</v>
      </c>
      <c r="AB257" t="s">
        <v>38</v>
      </c>
      <c r="AC257" t="s">
        <v>81</v>
      </c>
      <c r="AD257">
        <v>6891.56</v>
      </c>
      <c r="AE257" t="b">
        <v>0</v>
      </c>
      <c r="AF257">
        <v>305704.88</v>
      </c>
    </row>
    <row r="258" spans="1:32" x14ac:dyDescent="0.3">
      <c r="A258" t="s">
        <v>639</v>
      </c>
      <c r="B258" t="s">
        <v>640</v>
      </c>
      <c r="C258" t="s">
        <v>42</v>
      </c>
      <c r="D258" t="s">
        <v>31</v>
      </c>
      <c r="E258">
        <v>333100</v>
      </c>
      <c r="F258">
        <v>60</v>
      </c>
      <c r="G258">
        <v>10.31</v>
      </c>
      <c r="H258">
        <v>292993.88</v>
      </c>
      <c r="I258">
        <v>0</v>
      </c>
      <c r="J258">
        <v>0</v>
      </c>
      <c r="K258">
        <v>0</v>
      </c>
      <c r="L258">
        <v>1</v>
      </c>
      <c r="M258">
        <v>142117484.08000001</v>
      </c>
      <c r="N258" s="1">
        <v>45596</v>
      </c>
      <c r="O258" t="s">
        <v>32</v>
      </c>
      <c r="P258" t="s">
        <v>74</v>
      </c>
      <c r="Q258" s="1">
        <v>45507</v>
      </c>
      <c r="R258" t="s">
        <v>94</v>
      </c>
      <c r="S258" t="s">
        <v>95</v>
      </c>
      <c r="T258">
        <v>2024</v>
      </c>
      <c r="U258">
        <v>751</v>
      </c>
      <c r="V258">
        <v>759</v>
      </c>
      <c r="W258" t="s">
        <v>63</v>
      </c>
      <c r="X258">
        <v>3381000</v>
      </c>
      <c r="Y258">
        <v>2.53E-2</v>
      </c>
      <c r="Z258">
        <v>42</v>
      </c>
      <c r="AA258" t="s">
        <v>71</v>
      </c>
      <c r="AB258" t="s">
        <v>38</v>
      </c>
      <c r="AC258" t="s">
        <v>81</v>
      </c>
      <c r="AD258">
        <v>7128.31</v>
      </c>
      <c r="AE258" t="b">
        <v>0</v>
      </c>
      <c r="AF258">
        <v>562992.56999999995</v>
      </c>
    </row>
    <row r="259" spans="1:32" x14ac:dyDescent="0.3">
      <c r="A259" t="s">
        <v>641</v>
      </c>
      <c r="B259" t="s">
        <v>642</v>
      </c>
      <c r="C259" t="s">
        <v>98</v>
      </c>
      <c r="D259" t="s">
        <v>31</v>
      </c>
      <c r="E259">
        <v>481100</v>
      </c>
      <c r="F259">
        <v>72</v>
      </c>
      <c r="G259">
        <v>14.14</v>
      </c>
      <c r="H259">
        <v>197985.09</v>
      </c>
      <c r="I259">
        <v>252</v>
      </c>
      <c r="J259">
        <v>0</v>
      </c>
      <c r="K259">
        <v>0</v>
      </c>
      <c r="L259">
        <v>3</v>
      </c>
      <c r="M259">
        <v>142117484.08000001</v>
      </c>
      <c r="N259" s="1">
        <v>45596</v>
      </c>
      <c r="O259" t="s">
        <v>260</v>
      </c>
      <c r="P259" t="s">
        <v>74</v>
      </c>
      <c r="Q259" s="1">
        <v>44334</v>
      </c>
      <c r="R259" t="s">
        <v>34</v>
      </c>
      <c r="S259" t="s">
        <v>35</v>
      </c>
      <c r="T259">
        <v>2021</v>
      </c>
      <c r="U259">
        <v>751</v>
      </c>
      <c r="V259">
        <v>741</v>
      </c>
      <c r="W259" t="s">
        <v>63</v>
      </c>
      <c r="X259">
        <v>2788000</v>
      </c>
      <c r="Y259">
        <v>4.2799999999999998E-2</v>
      </c>
      <c r="Z259">
        <v>29</v>
      </c>
      <c r="AA259" t="s">
        <v>104</v>
      </c>
      <c r="AB259" t="s">
        <v>38</v>
      </c>
      <c r="AC259" t="s">
        <v>54</v>
      </c>
      <c r="AD259">
        <v>9949.52</v>
      </c>
      <c r="AE259" t="b">
        <v>0</v>
      </c>
      <c r="AF259">
        <v>411072.09</v>
      </c>
    </row>
    <row r="260" spans="1:32" x14ac:dyDescent="0.3">
      <c r="A260" t="s">
        <v>643</v>
      </c>
      <c r="B260" t="s">
        <v>644</v>
      </c>
      <c r="C260" t="s">
        <v>103</v>
      </c>
      <c r="D260" t="s">
        <v>31</v>
      </c>
      <c r="E260">
        <v>1493200</v>
      </c>
      <c r="F260">
        <v>84</v>
      </c>
      <c r="G260">
        <v>8.4499999999999993</v>
      </c>
      <c r="H260">
        <v>1028069.73</v>
      </c>
      <c r="I260">
        <v>0</v>
      </c>
      <c r="J260">
        <v>0</v>
      </c>
      <c r="K260">
        <v>0</v>
      </c>
      <c r="L260">
        <v>1</v>
      </c>
      <c r="M260">
        <v>142117484.08000001</v>
      </c>
      <c r="N260" s="1">
        <v>45596</v>
      </c>
      <c r="O260" t="s">
        <v>32</v>
      </c>
      <c r="P260" t="s">
        <v>74</v>
      </c>
      <c r="Q260" s="1">
        <v>44877</v>
      </c>
      <c r="R260" t="s">
        <v>45</v>
      </c>
      <c r="S260" t="s">
        <v>107</v>
      </c>
      <c r="T260">
        <v>2022</v>
      </c>
      <c r="U260">
        <v>751</v>
      </c>
      <c r="V260">
        <v>741</v>
      </c>
      <c r="W260" t="s">
        <v>70</v>
      </c>
      <c r="X260">
        <v>1777000</v>
      </c>
      <c r="Y260">
        <v>0.15939999999999999</v>
      </c>
      <c r="Z260">
        <v>35</v>
      </c>
      <c r="AA260" t="s">
        <v>126</v>
      </c>
      <c r="AB260" t="s">
        <v>38</v>
      </c>
      <c r="AC260" t="s">
        <v>81</v>
      </c>
      <c r="AD260">
        <v>23609.51</v>
      </c>
      <c r="AE260" t="b">
        <v>0</v>
      </c>
      <c r="AF260">
        <v>1567615.97</v>
      </c>
    </row>
    <row r="261" spans="1:32" x14ac:dyDescent="0.3">
      <c r="A261" t="s">
        <v>645</v>
      </c>
      <c r="B261" t="s">
        <v>646</v>
      </c>
      <c r="C261" t="s">
        <v>42</v>
      </c>
      <c r="D261" t="s">
        <v>31</v>
      </c>
      <c r="E261">
        <v>346100</v>
      </c>
      <c r="F261">
        <v>84</v>
      </c>
      <c r="G261">
        <v>7.74</v>
      </c>
      <c r="H261">
        <v>187572.67</v>
      </c>
      <c r="I261">
        <v>0</v>
      </c>
      <c r="J261">
        <v>0</v>
      </c>
      <c r="K261">
        <v>0</v>
      </c>
      <c r="L261">
        <v>1</v>
      </c>
      <c r="M261">
        <v>142117484.08000001</v>
      </c>
      <c r="N261" s="1">
        <v>45596</v>
      </c>
      <c r="O261" t="s">
        <v>32</v>
      </c>
      <c r="P261" t="s">
        <v>74</v>
      </c>
      <c r="Q261" s="1">
        <v>44428</v>
      </c>
      <c r="R261" t="s">
        <v>171</v>
      </c>
      <c r="S261" t="s">
        <v>281</v>
      </c>
      <c r="T261">
        <v>2021</v>
      </c>
      <c r="U261">
        <v>752</v>
      </c>
      <c r="V261">
        <v>758</v>
      </c>
      <c r="W261" t="s">
        <v>63</v>
      </c>
      <c r="X261">
        <v>3781000</v>
      </c>
      <c r="Y261">
        <v>1.7000000000000001E-2</v>
      </c>
      <c r="Z261">
        <v>28</v>
      </c>
      <c r="AA261" t="s">
        <v>226</v>
      </c>
      <c r="AB261" t="s">
        <v>38</v>
      </c>
      <c r="AC261" t="s">
        <v>54</v>
      </c>
      <c r="AD261">
        <v>5349.67</v>
      </c>
      <c r="AE261" t="b">
        <v>0</v>
      </c>
      <c r="AF261">
        <v>285075.44</v>
      </c>
    </row>
    <row r="262" spans="1:32" x14ac:dyDescent="0.3">
      <c r="A262" t="s">
        <v>647</v>
      </c>
      <c r="B262" t="s">
        <v>648</v>
      </c>
      <c r="C262" t="s">
        <v>103</v>
      </c>
      <c r="D262" t="s">
        <v>31</v>
      </c>
      <c r="E262">
        <v>1905200</v>
      </c>
      <c r="F262">
        <v>60</v>
      </c>
      <c r="G262">
        <v>8.08</v>
      </c>
      <c r="H262">
        <v>1658887.89</v>
      </c>
      <c r="I262">
        <v>0</v>
      </c>
      <c r="J262">
        <v>0</v>
      </c>
      <c r="K262">
        <v>0</v>
      </c>
      <c r="L262">
        <v>1</v>
      </c>
      <c r="M262">
        <v>142117484.08000001</v>
      </c>
      <c r="N262" s="1">
        <v>45596</v>
      </c>
      <c r="O262" t="s">
        <v>32</v>
      </c>
      <c r="P262" t="s">
        <v>44</v>
      </c>
      <c r="Q262" s="1">
        <v>45375</v>
      </c>
      <c r="R262" t="s">
        <v>94</v>
      </c>
      <c r="S262" t="s">
        <v>95</v>
      </c>
      <c r="T262">
        <v>2024</v>
      </c>
      <c r="U262">
        <v>752</v>
      </c>
      <c r="V262">
        <v>766</v>
      </c>
      <c r="W262" t="s">
        <v>70</v>
      </c>
      <c r="X262">
        <v>1534000</v>
      </c>
      <c r="Y262">
        <v>0.30280000000000001</v>
      </c>
      <c r="Z262">
        <v>57</v>
      </c>
      <c r="AA262" t="s">
        <v>80</v>
      </c>
      <c r="AB262" t="s">
        <v>38</v>
      </c>
      <c r="AC262" t="s">
        <v>54</v>
      </c>
      <c r="AD262">
        <v>38703.57</v>
      </c>
      <c r="AE262" t="b">
        <v>0</v>
      </c>
      <c r="AF262">
        <v>2605319.69</v>
      </c>
    </row>
    <row r="263" spans="1:32" x14ac:dyDescent="0.3">
      <c r="A263" t="s">
        <v>649</v>
      </c>
      <c r="B263" t="s">
        <v>650</v>
      </c>
      <c r="C263" t="s">
        <v>30</v>
      </c>
      <c r="D263" t="s">
        <v>31</v>
      </c>
      <c r="E263">
        <v>1476500</v>
      </c>
      <c r="F263">
        <v>60</v>
      </c>
      <c r="G263">
        <v>11.5</v>
      </c>
      <c r="H263">
        <v>1211033.73</v>
      </c>
      <c r="I263">
        <v>0</v>
      </c>
      <c r="J263">
        <v>0</v>
      </c>
      <c r="K263">
        <v>0</v>
      </c>
      <c r="L263">
        <v>1</v>
      </c>
      <c r="M263">
        <v>142117484.08000001</v>
      </c>
      <c r="N263" s="1">
        <v>45596</v>
      </c>
      <c r="O263" t="s">
        <v>32</v>
      </c>
      <c r="P263" t="s">
        <v>33</v>
      </c>
      <c r="Q263" s="1">
        <v>45183</v>
      </c>
      <c r="R263" t="s">
        <v>85</v>
      </c>
      <c r="S263" t="s">
        <v>86</v>
      </c>
      <c r="T263">
        <v>2023</v>
      </c>
      <c r="U263">
        <v>752</v>
      </c>
      <c r="V263">
        <v>771</v>
      </c>
      <c r="W263" t="s">
        <v>36</v>
      </c>
      <c r="X263">
        <v>4020000</v>
      </c>
      <c r="Y263">
        <v>9.69E-2</v>
      </c>
      <c r="Z263">
        <v>30</v>
      </c>
      <c r="AA263" t="s">
        <v>58</v>
      </c>
      <c r="AB263" t="s">
        <v>38</v>
      </c>
      <c r="AC263" t="s">
        <v>39</v>
      </c>
      <c r="AD263">
        <v>32472.080000000002</v>
      </c>
      <c r="AE263" t="b">
        <v>0</v>
      </c>
      <c r="AF263">
        <v>1303790.8700000001</v>
      </c>
    </row>
    <row r="264" spans="1:32" x14ac:dyDescent="0.3">
      <c r="A264" t="s">
        <v>651</v>
      </c>
      <c r="B264" t="s">
        <v>652</v>
      </c>
      <c r="C264" t="s">
        <v>30</v>
      </c>
      <c r="D264" t="s">
        <v>84</v>
      </c>
      <c r="E264">
        <v>508600</v>
      </c>
      <c r="F264">
        <v>60</v>
      </c>
      <c r="G264">
        <v>12.08</v>
      </c>
      <c r="H264">
        <v>399963.2</v>
      </c>
      <c r="I264">
        <v>0</v>
      </c>
      <c r="J264">
        <v>0</v>
      </c>
      <c r="K264">
        <v>0</v>
      </c>
      <c r="L264">
        <v>1</v>
      </c>
      <c r="M264">
        <v>142117484.08000001</v>
      </c>
      <c r="N264" s="1">
        <v>45596</v>
      </c>
      <c r="O264" t="s">
        <v>32</v>
      </c>
      <c r="P264" t="s">
        <v>74</v>
      </c>
      <c r="Q264" s="1">
        <v>45174</v>
      </c>
      <c r="R264" t="s">
        <v>61</v>
      </c>
      <c r="S264" t="s">
        <v>136</v>
      </c>
      <c r="T264">
        <v>2019</v>
      </c>
      <c r="U264">
        <v>753</v>
      </c>
      <c r="V264">
        <v>767</v>
      </c>
      <c r="W264" t="s">
        <v>70</v>
      </c>
      <c r="X264">
        <v>1742000</v>
      </c>
      <c r="Y264">
        <v>7.8100000000000003E-2</v>
      </c>
      <c r="Z264">
        <v>30</v>
      </c>
      <c r="AA264" t="s">
        <v>126</v>
      </c>
      <c r="AB264" t="s">
        <v>38</v>
      </c>
      <c r="AC264" t="s">
        <v>54</v>
      </c>
      <c r="AD264">
        <v>11334.1</v>
      </c>
      <c r="AE264" t="b">
        <v>0</v>
      </c>
      <c r="AF264">
        <v>603145.23</v>
      </c>
    </row>
    <row r="265" spans="1:32" x14ac:dyDescent="0.3">
      <c r="A265" t="s">
        <v>653</v>
      </c>
      <c r="B265" t="s">
        <v>654</v>
      </c>
      <c r="C265" t="s">
        <v>98</v>
      </c>
      <c r="D265" t="s">
        <v>31</v>
      </c>
      <c r="E265">
        <v>613200</v>
      </c>
      <c r="F265">
        <v>36</v>
      </c>
      <c r="G265">
        <v>12.68</v>
      </c>
      <c r="H265">
        <v>577942.94999999995</v>
      </c>
      <c r="I265">
        <v>0</v>
      </c>
      <c r="J265">
        <v>0</v>
      </c>
      <c r="K265">
        <v>0</v>
      </c>
      <c r="L265">
        <v>1</v>
      </c>
      <c r="M265">
        <v>142117484.08000001</v>
      </c>
      <c r="N265" s="1">
        <v>45596</v>
      </c>
      <c r="O265" t="s">
        <v>32</v>
      </c>
      <c r="P265" t="s">
        <v>44</v>
      </c>
      <c r="Q265" s="1">
        <v>45550</v>
      </c>
      <c r="R265" t="s">
        <v>45</v>
      </c>
      <c r="S265" t="s">
        <v>107</v>
      </c>
      <c r="T265">
        <v>2024</v>
      </c>
      <c r="U265">
        <v>756</v>
      </c>
      <c r="V265">
        <v>744</v>
      </c>
      <c r="W265" t="s">
        <v>70</v>
      </c>
      <c r="X265">
        <v>513000</v>
      </c>
      <c r="Y265">
        <v>0.48110000000000003</v>
      </c>
      <c r="Z265">
        <v>33</v>
      </c>
      <c r="AA265" t="s">
        <v>126</v>
      </c>
      <c r="AB265" t="s">
        <v>38</v>
      </c>
      <c r="AC265" t="s">
        <v>39</v>
      </c>
      <c r="AD265">
        <v>20566.740000000002</v>
      </c>
      <c r="AE265" t="b">
        <v>0</v>
      </c>
      <c r="AF265">
        <v>720681.94</v>
      </c>
    </row>
    <row r="266" spans="1:32" x14ac:dyDescent="0.3">
      <c r="A266" t="s">
        <v>655</v>
      </c>
      <c r="B266" t="s">
        <v>656</v>
      </c>
      <c r="C266" t="s">
        <v>67</v>
      </c>
      <c r="D266" t="s">
        <v>31</v>
      </c>
      <c r="E266">
        <v>600300</v>
      </c>
      <c r="F266">
        <v>48</v>
      </c>
      <c r="G266">
        <v>11.05</v>
      </c>
      <c r="H266">
        <v>305698.71999999997</v>
      </c>
      <c r="I266">
        <v>0</v>
      </c>
      <c r="J266">
        <v>0</v>
      </c>
      <c r="K266">
        <v>0</v>
      </c>
      <c r="L266">
        <v>1</v>
      </c>
      <c r="M266">
        <v>142117484.08000001</v>
      </c>
      <c r="N266" s="1">
        <v>45596</v>
      </c>
      <c r="O266" t="s">
        <v>32</v>
      </c>
      <c r="P266" t="s">
        <v>74</v>
      </c>
      <c r="Q266" s="1">
        <v>44915</v>
      </c>
      <c r="R266" t="s">
        <v>68</v>
      </c>
      <c r="S266" t="s">
        <v>69</v>
      </c>
      <c r="T266">
        <v>2022</v>
      </c>
      <c r="U266">
        <v>756</v>
      </c>
      <c r="V266">
        <v>736</v>
      </c>
      <c r="W266" t="s">
        <v>36</v>
      </c>
      <c r="X266">
        <v>4099000</v>
      </c>
      <c r="Y266">
        <v>4.5499999999999999E-2</v>
      </c>
      <c r="Z266">
        <v>39</v>
      </c>
      <c r="AA266" t="s">
        <v>76</v>
      </c>
      <c r="AB266" t="s">
        <v>38</v>
      </c>
      <c r="AC266" t="s">
        <v>81</v>
      </c>
      <c r="AD266">
        <v>15529.65</v>
      </c>
      <c r="AE266" t="b">
        <v>0</v>
      </c>
      <c r="AF266">
        <v>640672.29</v>
      </c>
    </row>
    <row r="267" spans="1:32" x14ac:dyDescent="0.3">
      <c r="A267" t="s">
        <v>657</v>
      </c>
      <c r="B267" t="s">
        <v>658</v>
      </c>
      <c r="C267" t="s">
        <v>30</v>
      </c>
      <c r="D267" t="s">
        <v>31</v>
      </c>
      <c r="E267">
        <v>546700</v>
      </c>
      <c r="F267">
        <v>36</v>
      </c>
      <c r="G267">
        <v>13.72</v>
      </c>
      <c r="H267">
        <v>416904.46</v>
      </c>
      <c r="I267">
        <v>0</v>
      </c>
      <c r="J267">
        <v>0</v>
      </c>
      <c r="K267">
        <v>0</v>
      </c>
      <c r="L267">
        <v>1</v>
      </c>
      <c r="M267">
        <v>142117484.08000001</v>
      </c>
      <c r="N267" s="1">
        <v>45596</v>
      </c>
      <c r="O267" t="s">
        <v>32</v>
      </c>
      <c r="P267" t="s">
        <v>50</v>
      </c>
      <c r="Q267" s="1">
        <v>45302</v>
      </c>
      <c r="R267" t="s">
        <v>61</v>
      </c>
      <c r="S267" t="s">
        <v>62</v>
      </c>
      <c r="T267">
        <v>2024</v>
      </c>
      <c r="U267">
        <v>758</v>
      </c>
      <c r="V267">
        <v>723</v>
      </c>
      <c r="W267" t="s">
        <v>70</v>
      </c>
      <c r="X267">
        <v>4672000</v>
      </c>
      <c r="Y267">
        <v>4.7800000000000002E-2</v>
      </c>
      <c r="Z267">
        <v>31</v>
      </c>
      <c r="AA267" t="s">
        <v>126</v>
      </c>
      <c r="AB267" t="s">
        <v>38</v>
      </c>
      <c r="AC267" t="s">
        <v>81</v>
      </c>
      <c r="AD267">
        <v>18610.650000000001</v>
      </c>
      <c r="AE267" t="b">
        <v>0</v>
      </c>
      <c r="AF267">
        <v>774902.54</v>
      </c>
    </row>
    <row r="268" spans="1:32" x14ac:dyDescent="0.3">
      <c r="A268" t="s">
        <v>659</v>
      </c>
      <c r="B268" t="s">
        <v>660</v>
      </c>
      <c r="C268" t="s">
        <v>30</v>
      </c>
      <c r="D268" t="s">
        <v>84</v>
      </c>
      <c r="E268">
        <v>481100</v>
      </c>
      <c r="F268">
        <v>36</v>
      </c>
      <c r="G268">
        <v>14.04</v>
      </c>
      <c r="H268">
        <v>156619.66</v>
      </c>
      <c r="I268">
        <v>0</v>
      </c>
      <c r="J268">
        <v>0</v>
      </c>
      <c r="K268">
        <v>0</v>
      </c>
      <c r="L268">
        <v>1</v>
      </c>
      <c r="M268">
        <v>142117484.08000001</v>
      </c>
      <c r="N268" s="1">
        <v>45596</v>
      </c>
      <c r="O268" t="s">
        <v>32</v>
      </c>
      <c r="P268" t="s">
        <v>50</v>
      </c>
      <c r="Q268" s="1">
        <v>44852</v>
      </c>
      <c r="R268" t="s">
        <v>68</v>
      </c>
      <c r="S268" t="s">
        <v>205</v>
      </c>
      <c r="T268">
        <v>2020</v>
      </c>
      <c r="U268">
        <v>758</v>
      </c>
      <c r="V268">
        <v>779</v>
      </c>
      <c r="W268" t="s">
        <v>36</v>
      </c>
      <c r="X268">
        <v>3240000</v>
      </c>
      <c r="Y268">
        <v>6.0900000000000003E-2</v>
      </c>
      <c r="Z268">
        <v>61</v>
      </c>
      <c r="AA268" t="s">
        <v>53</v>
      </c>
      <c r="AB268" t="s">
        <v>38</v>
      </c>
      <c r="AC268" t="s">
        <v>81</v>
      </c>
      <c r="AD268">
        <v>16452.21</v>
      </c>
      <c r="AE268" t="b">
        <v>0</v>
      </c>
      <c r="AF268">
        <v>417467.54</v>
      </c>
    </row>
    <row r="269" spans="1:32" x14ac:dyDescent="0.3">
      <c r="A269" t="s">
        <v>661</v>
      </c>
      <c r="B269" t="s">
        <v>662</v>
      </c>
      <c r="C269" t="s">
        <v>67</v>
      </c>
      <c r="D269" t="s">
        <v>31</v>
      </c>
      <c r="E269">
        <v>821400</v>
      </c>
      <c r="F269">
        <v>48</v>
      </c>
      <c r="G269">
        <v>11.32</v>
      </c>
      <c r="H269">
        <v>584127.35</v>
      </c>
      <c r="I269">
        <v>0</v>
      </c>
      <c r="J269">
        <v>0</v>
      </c>
      <c r="K269">
        <v>0</v>
      </c>
      <c r="L269">
        <v>1</v>
      </c>
      <c r="M269">
        <v>142117484.08000001</v>
      </c>
      <c r="N269" s="1">
        <v>45596</v>
      </c>
      <c r="O269" t="s">
        <v>32</v>
      </c>
      <c r="P269" t="s">
        <v>50</v>
      </c>
      <c r="Q269" s="1">
        <v>45215</v>
      </c>
      <c r="R269" t="s">
        <v>61</v>
      </c>
      <c r="S269" t="s">
        <v>75</v>
      </c>
      <c r="T269">
        <v>2023</v>
      </c>
      <c r="U269">
        <v>759</v>
      </c>
      <c r="V269">
        <v>730</v>
      </c>
      <c r="W269" t="s">
        <v>36</v>
      </c>
      <c r="X269">
        <v>3252000</v>
      </c>
      <c r="Y269">
        <v>7.8799999999999995E-2</v>
      </c>
      <c r="Z269">
        <v>43</v>
      </c>
      <c r="AA269" t="s">
        <v>148</v>
      </c>
      <c r="AB269" t="s">
        <v>38</v>
      </c>
      <c r="AC269" t="s">
        <v>39</v>
      </c>
      <c r="AD269">
        <v>21357.39</v>
      </c>
      <c r="AE269" t="b">
        <v>0</v>
      </c>
      <c r="AF269">
        <v>786450.23</v>
      </c>
    </row>
    <row r="270" spans="1:32" x14ac:dyDescent="0.3">
      <c r="A270" t="s">
        <v>663</v>
      </c>
      <c r="B270" t="s">
        <v>664</v>
      </c>
      <c r="C270" t="s">
        <v>67</v>
      </c>
      <c r="D270" t="s">
        <v>31</v>
      </c>
      <c r="E270">
        <v>1636300</v>
      </c>
      <c r="F270">
        <v>48</v>
      </c>
      <c r="G270">
        <v>11.34</v>
      </c>
      <c r="H270">
        <v>1636300</v>
      </c>
      <c r="I270">
        <v>0</v>
      </c>
      <c r="J270">
        <v>0</v>
      </c>
      <c r="K270">
        <v>0</v>
      </c>
      <c r="L270">
        <v>1</v>
      </c>
      <c r="M270">
        <v>142117484.08000001</v>
      </c>
      <c r="N270" s="1">
        <v>45596</v>
      </c>
      <c r="O270" t="s">
        <v>32</v>
      </c>
      <c r="P270" t="s">
        <v>33</v>
      </c>
      <c r="Q270" s="1">
        <v>45527</v>
      </c>
      <c r="R270" t="s">
        <v>99</v>
      </c>
      <c r="S270" t="s">
        <v>200</v>
      </c>
      <c r="T270">
        <v>2024</v>
      </c>
      <c r="U270">
        <v>760</v>
      </c>
      <c r="V270">
        <v>765</v>
      </c>
      <c r="W270" t="s">
        <v>36</v>
      </c>
      <c r="X270">
        <v>3654000</v>
      </c>
      <c r="Y270">
        <v>0.13980000000000001</v>
      </c>
      <c r="Z270">
        <v>26</v>
      </c>
      <c r="AA270" t="s">
        <v>108</v>
      </c>
      <c r="AB270" t="s">
        <v>38</v>
      </c>
      <c r="AC270" t="s">
        <v>54</v>
      </c>
      <c r="AD270">
        <v>42561.71</v>
      </c>
      <c r="AE270" t="b">
        <v>0</v>
      </c>
      <c r="AF270">
        <v>2255890.35</v>
      </c>
    </row>
    <row r="271" spans="1:32" x14ac:dyDescent="0.3">
      <c r="A271" t="s">
        <v>665</v>
      </c>
      <c r="B271" t="s">
        <v>666</v>
      </c>
      <c r="C271" t="s">
        <v>98</v>
      </c>
      <c r="D271" t="s">
        <v>31</v>
      </c>
      <c r="E271">
        <v>665900</v>
      </c>
      <c r="F271">
        <v>48</v>
      </c>
      <c r="G271">
        <v>9.74</v>
      </c>
      <c r="H271">
        <v>439278.24</v>
      </c>
      <c r="I271">
        <v>0</v>
      </c>
      <c r="J271">
        <v>0</v>
      </c>
      <c r="K271">
        <v>0</v>
      </c>
      <c r="L271">
        <v>1</v>
      </c>
      <c r="M271">
        <v>142117484.08000001</v>
      </c>
      <c r="N271" s="1">
        <v>45596</v>
      </c>
      <c r="O271" t="s">
        <v>32</v>
      </c>
      <c r="P271" t="s">
        <v>50</v>
      </c>
      <c r="Q271" s="1">
        <v>45172</v>
      </c>
      <c r="R271" t="s">
        <v>99</v>
      </c>
      <c r="S271" t="s">
        <v>200</v>
      </c>
      <c r="T271">
        <v>2023</v>
      </c>
      <c r="U271">
        <v>760</v>
      </c>
      <c r="V271">
        <v>770</v>
      </c>
      <c r="W271" t="s">
        <v>57</v>
      </c>
      <c r="X271">
        <v>1340000</v>
      </c>
      <c r="Y271">
        <v>0.15049999999999999</v>
      </c>
      <c r="Z271">
        <v>47</v>
      </c>
      <c r="AA271" t="s">
        <v>91</v>
      </c>
      <c r="AB271" t="s">
        <v>38</v>
      </c>
      <c r="AC271" t="s">
        <v>39</v>
      </c>
      <c r="AD271">
        <v>16805.919999999998</v>
      </c>
      <c r="AE271" t="b">
        <v>0</v>
      </c>
      <c r="AF271">
        <v>688675.67</v>
      </c>
    </row>
    <row r="272" spans="1:32" x14ac:dyDescent="0.3">
      <c r="A272" t="s">
        <v>667</v>
      </c>
      <c r="B272" t="s">
        <v>668</v>
      </c>
      <c r="C272" t="s">
        <v>42</v>
      </c>
      <c r="D272" t="s">
        <v>31</v>
      </c>
      <c r="E272">
        <v>847400</v>
      </c>
      <c r="F272">
        <v>48</v>
      </c>
      <c r="G272">
        <v>9.39</v>
      </c>
      <c r="H272">
        <v>111995</v>
      </c>
      <c r="I272">
        <v>0</v>
      </c>
      <c r="J272">
        <v>0</v>
      </c>
      <c r="K272">
        <v>0</v>
      </c>
      <c r="L272">
        <v>1</v>
      </c>
      <c r="M272">
        <v>142117484.08000001</v>
      </c>
      <c r="N272" s="1">
        <v>45596</v>
      </c>
      <c r="O272" t="s">
        <v>32</v>
      </c>
      <c r="P272" t="s">
        <v>50</v>
      </c>
      <c r="Q272" s="1">
        <v>44341</v>
      </c>
      <c r="R272" t="s">
        <v>85</v>
      </c>
      <c r="S272" t="s">
        <v>440</v>
      </c>
      <c r="T272">
        <v>2021</v>
      </c>
      <c r="U272">
        <v>760</v>
      </c>
      <c r="V272">
        <v>771</v>
      </c>
      <c r="W272" t="s">
        <v>63</v>
      </c>
      <c r="X272">
        <v>3357000</v>
      </c>
      <c r="Y272">
        <v>7.5899999999999995E-2</v>
      </c>
      <c r="Z272">
        <v>56</v>
      </c>
      <c r="AA272" t="s">
        <v>104</v>
      </c>
      <c r="AB272" t="s">
        <v>38</v>
      </c>
      <c r="AC272" t="s">
        <v>81</v>
      </c>
      <c r="AD272">
        <v>21244.86</v>
      </c>
      <c r="AE272" t="b">
        <v>0</v>
      </c>
      <c r="AF272">
        <v>553872.4</v>
      </c>
    </row>
    <row r="273" spans="1:32" x14ac:dyDescent="0.3">
      <c r="A273" t="s">
        <v>669</v>
      </c>
      <c r="B273" t="s">
        <v>670</v>
      </c>
      <c r="C273" t="s">
        <v>42</v>
      </c>
      <c r="D273" t="s">
        <v>31</v>
      </c>
      <c r="E273">
        <v>570500</v>
      </c>
      <c r="F273">
        <v>72</v>
      </c>
      <c r="G273">
        <v>13.38</v>
      </c>
      <c r="H273">
        <v>272202.2</v>
      </c>
      <c r="I273">
        <v>0</v>
      </c>
      <c r="J273">
        <v>0</v>
      </c>
      <c r="K273">
        <v>0</v>
      </c>
      <c r="L273">
        <v>1</v>
      </c>
      <c r="M273">
        <v>142117484.08000001</v>
      </c>
      <c r="N273" s="1">
        <v>45596</v>
      </c>
      <c r="O273" t="s">
        <v>32</v>
      </c>
      <c r="P273" t="s">
        <v>44</v>
      </c>
      <c r="Q273" s="1">
        <v>44494</v>
      </c>
      <c r="R273" t="s">
        <v>99</v>
      </c>
      <c r="S273" t="s">
        <v>219</v>
      </c>
      <c r="T273">
        <v>2021</v>
      </c>
      <c r="U273">
        <v>760</v>
      </c>
      <c r="V273">
        <v>715</v>
      </c>
      <c r="W273" t="s">
        <v>70</v>
      </c>
      <c r="X273">
        <v>580000</v>
      </c>
      <c r="Y273">
        <v>0.23930000000000001</v>
      </c>
      <c r="Z273">
        <v>41</v>
      </c>
      <c r="AA273" t="s">
        <v>233</v>
      </c>
      <c r="AB273" t="s">
        <v>38</v>
      </c>
      <c r="AC273" t="s">
        <v>39</v>
      </c>
      <c r="AD273">
        <v>11567.01</v>
      </c>
      <c r="AE273" t="b">
        <v>0</v>
      </c>
      <c r="AF273">
        <v>481351.76</v>
      </c>
    </row>
    <row r="274" spans="1:32" x14ac:dyDescent="0.3">
      <c r="A274" t="s">
        <v>671</v>
      </c>
      <c r="B274" t="s">
        <v>672</v>
      </c>
      <c r="C274" t="s">
        <v>103</v>
      </c>
      <c r="D274" t="s">
        <v>84</v>
      </c>
      <c r="E274">
        <v>1552300</v>
      </c>
      <c r="F274">
        <v>48</v>
      </c>
      <c r="G274">
        <v>8.26</v>
      </c>
      <c r="H274">
        <v>1360235.09</v>
      </c>
      <c r="I274">
        <v>0</v>
      </c>
      <c r="J274">
        <v>0</v>
      </c>
      <c r="K274">
        <v>0</v>
      </c>
      <c r="L274">
        <v>1</v>
      </c>
      <c r="M274">
        <v>142117484.08000001</v>
      </c>
      <c r="N274" s="1">
        <v>45596</v>
      </c>
      <c r="O274" t="s">
        <v>32</v>
      </c>
      <c r="P274" t="s">
        <v>50</v>
      </c>
      <c r="Q274" s="1">
        <v>45354</v>
      </c>
      <c r="R274" t="s">
        <v>99</v>
      </c>
      <c r="S274" t="s">
        <v>200</v>
      </c>
      <c r="T274">
        <v>2019</v>
      </c>
      <c r="U274">
        <v>760</v>
      </c>
      <c r="V274">
        <v>761</v>
      </c>
      <c r="W274" t="s">
        <v>36</v>
      </c>
      <c r="X274">
        <v>4016000</v>
      </c>
      <c r="Y274">
        <v>0.1138</v>
      </c>
      <c r="Z274">
        <v>36</v>
      </c>
      <c r="AA274" t="s">
        <v>53</v>
      </c>
      <c r="AB274" t="s">
        <v>38</v>
      </c>
      <c r="AC274" t="s">
        <v>81</v>
      </c>
      <c r="AD274">
        <v>38085.910000000003</v>
      </c>
      <c r="AE274" t="b">
        <v>0</v>
      </c>
      <c r="AF274">
        <v>1525042.39</v>
      </c>
    </row>
    <row r="275" spans="1:32" x14ac:dyDescent="0.3">
      <c r="A275" t="s">
        <v>673</v>
      </c>
      <c r="B275" t="s">
        <v>674</v>
      </c>
      <c r="C275" t="s">
        <v>98</v>
      </c>
      <c r="D275" t="s">
        <v>31</v>
      </c>
      <c r="E275">
        <v>1014000</v>
      </c>
      <c r="F275">
        <v>60</v>
      </c>
      <c r="G275">
        <v>7.76</v>
      </c>
      <c r="H275">
        <v>621329.22</v>
      </c>
      <c r="I275">
        <v>0</v>
      </c>
      <c r="J275">
        <v>0</v>
      </c>
      <c r="K275">
        <v>0</v>
      </c>
      <c r="L275">
        <v>1</v>
      </c>
      <c r="M275">
        <v>142117484.08000001</v>
      </c>
      <c r="N275" s="1">
        <v>45596</v>
      </c>
      <c r="O275" t="s">
        <v>32</v>
      </c>
      <c r="P275" t="s">
        <v>74</v>
      </c>
      <c r="Q275" s="1">
        <v>44861</v>
      </c>
      <c r="R275" t="s">
        <v>68</v>
      </c>
      <c r="S275" t="s">
        <v>133</v>
      </c>
      <c r="T275">
        <v>2022</v>
      </c>
      <c r="U275">
        <v>761</v>
      </c>
      <c r="V275">
        <v>764</v>
      </c>
      <c r="W275" t="s">
        <v>57</v>
      </c>
      <c r="X275">
        <v>1269000</v>
      </c>
      <c r="Y275">
        <v>0.1933</v>
      </c>
      <c r="Z275">
        <v>29</v>
      </c>
      <c r="AA275" t="s">
        <v>64</v>
      </c>
      <c r="AB275" t="s">
        <v>38</v>
      </c>
      <c r="AC275" t="s">
        <v>39</v>
      </c>
      <c r="AD275">
        <v>20443.990000000002</v>
      </c>
      <c r="AE275" t="b">
        <v>0</v>
      </c>
      <c r="AF275">
        <v>1197555.1200000001</v>
      </c>
    </row>
    <row r="276" spans="1:32" x14ac:dyDescent="0.3">
      <c r="A276" t="s">
        <v>675</v>
      </c>
      <c r="B276" t="s">
        <v>676</v>
      </c>
      <c r="C276" t="s">
        <v>42</v>
      </c>
      <c r="D276" t="s">
        <v>84</v>
      </c>
      <c r="E276">
        <v>181500</v>
      </c>
      <c r="F276">
        <v>72</v>
      </c>
      <c r="G276">
        <v>8.3800000000000008</v>
      </c>
      <c r="H276">
        <v>104223.94</v>
      </c>
      <c r="I276">
        <v>0</v>
      </c>
      <c r="J276">
        <v>0</v>
      </c>
      <c r="K276">
        <v>0</v>
      </c>
      <c r="L276">
        <v>1</v>
      </c>
      <c r="M276">
        <v>142117484.08000001</v>
      </c>
      <c r="N276" s="1">
        <v>45596</v>
      </c>
      <c r="O276" t="s">
        <v>32</v>
      </c>
      <c r="P276" t="s">
        <v>33</v>
      </c>
      <c r="Q276" s="1">
        <v>44628</v>
      </c>
      <c r="R276" t="s">
        <v>34</v>
      </c>
      <c r="S276" t="s">
        <v>145</v>
      </c>
      <c r="T276">
        <v>2020</v>
      </c>
      <c r="U276">
        <v>761</v>
      </c>
      <c r="V276">
        <v>763</v>
      </c>
      <c r="W276" t="s">
        <v>36</v>
      </c>
      <c r="X276">
        <v>3762000</v>
      </c>
      <c r="Y276">
        <v>1.03E-2</v>
      </c>
      <c r="Z276">
        <v>45</v>
      </c>
      <c r="AA276" t="s">
        <v>197</v>
      </c>
      <c r="AB276" t="s">
        <v>38</v>
      </c>
      <c r="AC276" t="s">
        <v>39</v>
      </c>
      <c r="AD276">
        <v>3216.07</v>
      </c>
      <c r="AE276" t="b">
        <v>0</v>
      </c>
      <c r="AF276">
        <v>183351.79</v>
      </c>
    </row>
    <row r="277" spans="1:32" x14ac:dyDescent="0.3">
      <c r="A277" t="s">
        <v>677</v>
      </c>
      <c r="B277" t="s">
        <v>678</v>
      </c>
      <c r="C277" t="s">
        <v>67</v>
      </c>
      <c r="D277" t="s">
        <v>84</v>
      </c>
      <c r="E277">
        <v>614700</v>
      </c>
      <c r="F277">
        <v>72</v>
      </c>
      <c r="G277">
        <v>8.26</v>
      </c>
      <c r="H277">
        <v>485110.21</v>
      </c>
      <c r="I277">
        <v>0</v>
      </c>
      <c r="J277">
        <v>0</v>
      </c>
      <c r="K277">
        <v>0</v>
      </c>
      <c r="L277">
        <v>1</v>
      </c>
      <c r="M277">
        <v>142117484.08000001</v>
      </c>
      <c r="N277" s="1">
        <v>45596</v>
      </c>
      <c r="O277" t="s">
        <v>32</v>
      </c>
      <c r="P277" t="s">
        <v>44</v>
      </c>
      <c r="Q277" s="1">
        <v>45081</v>
      </c>
      <c r="R277" t="s">
        <v>89</v>
      </c>
      <c r="S277" t="s">
        <v>183</v>
      </c>
      <c r="T277">
        <v>2021</v>
      </c>
      <c r="U277">
        <v>761</v>
      </c>
      <c r="V277">
        <v>740</v>
      </c>
      <c r="W277" t="s">
        <v>63</v>
      </c>
      <c r="X277">
        <v>2251000</v>
      </c>
      <c r="Y277">
        <v>5.79E-2</v>
      </c>
      <c r="Z277">
        <v>27</v>
      </c>
      <c r="AA277" t="s">
        <v>71</v>
      </c>
      <c r="AB277" t="s">
        <v>38</v>
      </c>
      <c r="AC277" t="s">
        <v>81</v>
      </c>
      <c r="AD277">
        <v>10855.89</v>
      </c>
      <c r="AE277" t="b">
        <v>0</v>
      </c>
      <c r="AF277">
        <v>775404</v>
      </c>
    </row>
    <row r="278" spans="1:32" x14ac:dyDescent="0.3">
      <c r="A278" t="s">
        <v>679</v>
      </c>
      <c r="B278" t="s">
        <v>680</v>
      </c>
      <c r="C278" t="s">
        <v>67</v>
      </c>
      <c r="D278" t="s">
        <v>31</v>
      </c>
      <c r="E278">
        <v>846100</v>
      </c>
      <c r="F278">
        <v>72</v>
      </c>
      <c r="G278">
        <v>11.62</v>
      </c>
      <c r="H278">
        <v>356220.96</v>
      </c>
      <c r="I278">
        <v>0</v>
      </c>
      <c r="J278">
        <v>0</v>
      </c>
      <c r="K278">
        <v>0</v>
      </c>
      <c r="L278">
        <v>1</v>
      </c>
      <c r="M278">
        <v>142117484.08000001</v>
      </c>
      <c r="N278" s="1">
        <v>45596</v>
      </c>
      <c r="O278" t="s">
        <v>32</v>
      </c>
      <c r="P278" t="s">
        <v>33</v>
      </c>
      <c r="Q278" s="1">
        <v>44324</v>
      </c>
      <c r="R278" t="s">
        <v>85</v>
      </c>
      <c r="S278" t="s">
        <v>86</v>
      </c>
      <c r="T278">
        <v>2021</v>
      </c>
      <c r="U278">
        <v>762</v>
      </c>
      <c r="V278">
        <v>774</v>
      </c>
      <c r="W278" t="s">
        <v>70</v>
      </c>
      <c r="X278">
        <v>3291000</v>
      </c>
      <c r="Y278">
        <v>5.9700000000000003E-2</v>
      </c>
      <c r="Z278">
        <v>41</v>
      </c>
      <c r="AA278" t="s">
        <v>80</v>
      </c>
      <c r="AB278" t="s">
        <v>38</v>
      </c>
      <c r="AC278" t="s">
        <v>39</v>
      </c>
      <c r="AD278">
        <v>16374.7</v>
      </c>
      <c r="AE278" t="b">
        <v>0</v>
      </c>
      <c r="AF278">
        <v>473562.67</v>
      </c>
    </row>
    <row r="279" spans="1:32" x14ac:dyDescent="0.3">
      <c r="A279" t="s">
        <v>681</v>
      </c>
      <c r="B279" t="s">
        <v>682</v>
      </c>
      <c r="C279" t="s">
        <v>67</v>
      </c>
      <c r="D279" t="s">
        <v>31</v>
      </c>
      <c r="E279">
        <v>2442900</v>
      </c>
      <c r="F279">
        <v>84</v>
      </c>
      <c r="G279">
        <v>11.2</v>
      </c>
      <c r="H279">
        <v>2209255.4</v>
      </c>
      <c r="I279">
        <v>0</v>
      </c>
      <c r="J279">
        <v>0</v>
      </c>
      <c r="K279">
        <v>0</v>
      </c>
      <c r="L279">
        <v>1</v>
      </c>
      <c r="M279">
        <v>142117484.08000001</v>
      </c>
      <c r="N279" s="1">
        <v>45596</v>
      </c>
      <c r="O279" t="s">
        <v>32</v>
      </c>
      <c r="P279" t="s">
        <v>74</v>
      </c>
      <c r="Q279" s="1">
        <v>45404</v>
      </c>
      <c r="R279" t="s">
        <v>51</v>
      </c>
      <c r="S279" t="s">
        <v>194</v>
      </c>
      <c r="T279">
        <v>2024</v>
      </c>
      <c r="U279">
        <v>762</v>
      </c>
      <c r="V279">
        <v>727</v>
      </c>
      <c r="W279" t="s">
        <v>63</v>
      </c>
      <c r="X279">
        <v>2477000</v>
      </c>
      <c r="Y279">
        <v>0.2039</v>
      </c>
      <c r="Z279">
        <v>26</v>
      </c>
      <c r="AA279" t="s">
        <v>37</v>
      </c>
      <c r="AB279" t="s">
        <v>38</v>
      </c>
      <c r="AC279" t="s">
        <v>81</v>
      </c>
      <c r="AD279">
        <v>42085.73</v>
      </c>
      <c r="AE279" t="b">
        <v>0</v>
      </c>
      <c r="AF279">
        <v>2876075.74</v>
      </c>
    </row>
    <row r="280" spans="1:32" x14ac:dyDescent="0.3">
      <c r="A280" t="s">
        <v>683</v>
      </c>
      <c r="B280" t="s">
        <v>684</v>
      </c>
      <c r="C280" t="s">
        <v>42</v>
      </c>
      <c r="D280" t="s">
        <v>31</v>
      </c>
      <c r="E280">
        <v>820900</v>
      </c>
      <c r="F280">
        <v>48</v>
      </c>
      <c r="G280">
        <v>9.27</v>
      </c>
      <c r="H280">
        <v>376710.69</v>
      </c>
      <c r="I280">
        <v>62</v>
      </c>
      <c r="J280">
        <v>0</v>
      </c>
      <c r="K280">
        <v>0</v>
      </c>
      <c r="L280">
        <v>2</v>
      </c>
      <c r="M280">
        <v>142117484.08000001</v>
      </c>
      <c r="N280" s="1">
        <v>45596</v>
      </c>
      <c r="O280" t="s">
        <v>122</v>
      </c>
      <c r="P280" t="s">
        <v>33</v>
      </c>
      <c r="Q280" s="1">
        <v>44828</v>
      </c>
      <c r="R280" t="s">
        <v>171</v>
      </c>
      <c r="S280" t="s">
        <v>398</v>
      </c>
      <c r="T280">
        <v>2022</v>
      </c>
      <c r="U280">
        <v>763</v>
      </c>
      <c r="V280">
        <v>762</v>
      </c>
      <c r="W280" t="s">
        <v>57</v>
      </c>
      <c r="X280">
        <v>1015000</v>
      </c>
      <c r="Y280">
        <v>0.24279999999999999</v>
      </c>
      <c r="Z280">
        <v>47</v>
      </c>
      <c r="AA280" t="s">
        <v>76</v>
      </c>
      <c r="AB280" t="s">
        <v>38</v>
      </c>
      <c r="AC280" t="s">
        <v>54</v>
      </c>
      <c r="AD280">
        <v>20533.54</v>
      </c>
      <c r="AE280" t="b">
        <v>0</v>
      </c>
      <c r="AF280">
        <v>684416.7</v>
      </c>
    </row>
    <row r="281" spans="1:32" x14ac:dyDescent="0.3">
      <c r="A281" t="s">
        <v>685</v>
      </c>
      <c r="B281" t="s">
        <v>686</v>
      </c>
      <c r="C281" t="s">
        <v>42</v>
      </c>
      <c r="D281" t="s">
        <v>31</v>
      </c>
      <c r="E281">
        <v>709700</v>
      </c>
      <c r="F281">
        <v>72</v>
      </c>
      <c r="G281">
        <v>10.029999999999999</v>
      </c>
      <c r="H281">
        <v>478975.37</v>
      </c>
      <c r="I281">
        <v>5</v>
      </c>
      <c r="J281">
        <v>0</v>
      </c>
      <c r="K281">
        <v>0</v>
      </c>
      <c r="L281">
        <v>1</v>
      </c>
      <c r="M281">
        <v>142117484.08000001</v>
      </c>
      <c r="N281" s="1">
        <v>45596</v>
      </c>
      <c r="O281" t="s">
        <v>139</v>
      </c>
      <c r="P281" t="s">
        <v>74</v>
      </c>
      <c r="Q281" s="1">
        <v>44938</v>
      </c>
      <c r="R281" t="s">
        <v>34</v>
      </c>
      <c r="S281" t="s">
        <v>145</v>
      </c>
      <c r="T281">
        <v>2023</v>
      </c>
      <c r="U281">
        <v>764</v>
      </c>
      <c r="V281">
        <v>767</v>
      </c>
      <c r="W281" t="s">
        <v>36</v>
      </c>
      <c r="X281">
        <v>3263000</v>
      </c>
      <c r="Y281">
        <v>4.8399999999999999E-2</v>
      </c>
      <c r="Z281">
        <v>27</v>
      </c>
      <c r="AA281" t="s">
        <v>226</v>
      </c>
      <c r="AB281" t="s">
        <v>38</v>
      </c>
      <c r="AC281" t="s">
        <v>81</v>
      </c>
      <c r="AD281">
        <v>13158.53</v>
      </c>
      <c r="AE281" t="b">
        <v>0</v>
      </c>
      <c r="AF281">
        <v>758543.85</v>
      </c>
    </row>
    <row r="282" spans="1:32" x14ac:dyDescent="0.3">
      <c r="A282" t="s">
        <v>687</v>
      </c>
      <c r="B282" t="s">
        <v>688</v>
      </c>
      <c r="C282" t="s">
        <v>67</v>
      </c>
      <c r="D282" t="s">
        <v>84</v>
      </c>
      <c r="E282">
        <v>900000</v>
      </c>
      <c r="F282">
        <v>72</v>
      </c>
      <c r="G282">
        <v>8.6300000000000008</v>
      </c>
      <c r="H282">
        <v>415412.84</v>
      </c>
      <c r="I282">
        <v>0</v>
      </c>
      <c r="J282">
        <v>0</v>
      </c>
      <c r="K282">
        <v>0</v>
      </c>
      <c r="L282">
        <v>1</v>
      </c>
      <c r="M282">
        <v>142117484.08000001</v>
      </c>
      <c r="N282" s="1">
        <v>45596</v>
      </c>
      <c r="O282" t="s">
        <v>32</v>
      </c>
      <c r="P282" t="s">
        <v>33</v>
      </c>
      <c r="Q282" s="1">
        <v>44439</v>
      </c>
      <c r="R282" t="s">
        <v>94</v>
      </c>
      <c r="S282" t="s">
        <v>95</v>
      </c>
      <c r="T282">
        <v>2020</v>
      </c>
      <c r="U282">
        <v>764</v>
      </c>
      <c r="V282">
        <v>727</v>
      </c>
      <c r="W282" t="s">
        <v>57</v>
      </c>
      <c r="X282">
        <v>2143000</v>
      </c>
      <c r="Y282">
        <v>8.9899999999999994E-2</v>
      </c>
      <c r="Z282">
        <v>25</v>
      </c>
      <c r="AA282" t="s">
        <v>226</v>
      </c>
      <c r="AB282" t="s">
        <v>38</v>
      </c>
      <c r="AC282" t="s">
        <v>39</v>
      </c>
      <c r="AD282">
        <v>16058.21</v>
      </c>
      <c r="AE282" t="b">
        <v>0</v>
      </c>
      <c r="AF282">
        <v>643659.1</v>
      </c>
    </row>
    <row r="283" spans="1:32" x14ac:dyDescent="0.3">
      <c r="A283" t="s">
        <v>689</v>
      </c>
      <c r="B283" t="s">
        <v>690</v>
      </c>
      <c r="C283" t="s">
        <v>103</v>
      </c>
      <c r="D283" t="s">
        <v>31</v>
      </c>
      <c r="E283">
        <v>1585500</v>
      </c>
      <c r="F283">
        <v>72</v>
      </c>
      <c r="G283">
        <v>12.77</v>
      </c>
      <c r="H283">
        <v>959723.51</v>
      </c>
      <c r="I283">
        <v>0</v>
      </c>
      <c r="J283">
        <v>0</v>
      </c>
      <c r="K283">
        <v>0</v>
      </c>
      <c r="L283">
        <v>1</v>
      </c>
      <c r="M283">
        <v>142117484.08000001</v>
      </c>
      <c r="N283" s="1">
        <v>45596</v>
      </c>
      <c r="O283" t="s">
        <v>32</v>
      </c>
      <c r="P283" t="s">
        <v>74</v>
      </c>
      <c r="Q283" s="1">
        <v>44694</v>
      </c>
      <c r="R283" t="s">
        <v>68</v>
      </c>
      <c r="S283" t="s">
        <v>133</v>
      </c>
      <c r="T283">
        <v>2022</v>
      </c>
      <c r="U283">
        <v>765</v>
      </c>
      <c r="V283">
        <v>748</v>
      </c>
      <c r="W283" t="s">
        <v>70</v>
      </c>
      <c r="X283">
        <v>1854000</v>
      </c>
      <c r="Y283">
        <v>0.20480000000000001</v>
      </c>
      <c r="Z283">
        <v>42</v>
      </c>
      <c r="AA283" t="s">
        <v>108</v>
      </c>
      <c r="AB283" t="s">
        <v>38</v>
      </c>
      <c r="AC283" t="s">
        <v>54</v>
      </c>
      <c r="AD283">
        <v>31635.35</v>
      </c>
      <c r="AE283" t="b">
        <v>0</v>
      </c>
      <c r="AF283">
        <v>1537376.85</v>
      </c>
    </row>
    <row r="284" spans="1:32" x14ac:dyDescent="0.3">
      <c r="A284" t="s">
        <v>691</v>
      </c>
      <c r="B284" t="s">
        <v>692</v>
      </c>
      <c r="C284" t="s">
        <v>103</v>
      </c>
      <c r="D284" t="s">
        <v>31</v>
      </c>
      <c r="E284">
        <v>2119500</v>
      </c>
      <c r="F284">
        <v>72</v>
      </c>
      <c r="G284">
        <v>10.41</v>
      </c>
      <c r="H284">
        <v>1535654.15</v>
      </c>
      <c r="I284">
        <v>0</v>
      </c>
      <c r="J284">
        <v>0</v>
      </c>
      <c r="K284">
        <v>0</v>
      </c>
      <c r="L284">
        <v>1</v>
      </c>
      <c r="M284">
        <v>142117484.08000001</v>
      </c>
      <c r="N284" s="1">
        <v>45596</v>
      </c>
      <c r="O284" t="s">
        <v>32</v>
      </c>
      <c r="P284" t="s">
        <v>74</v>
      </c>
      <c r="Q284" s="1">
        <v>44910</v>
      </c>
      <c r="R284" t="s">
        <v>85</v>
      </c>
      <c r="S284" t="s">
        <v>86</v>
      </c>
      <c r="T284">
        <v>2022</v>
      </c>
      <c r="U284">
        <v>765</v>
      </c>
      <c r="V284">
        <v>783</v>
      </c>
      <c r="W284" t="s">
        <v>70</v>
      </c>
      <c r="X284">
        <v>4024000</v>
      </c>
      <c r="Y284">
        <v>0.11840000000000001</v>
      </c>
      <c r="Z284">
        <v>60</v>
      </c>
      <c r="AA284" t="s">
        <v>148</v>
      </c>
      <c r="AB284" t="s">
        <v>38</v>
      </c>
      <c r="AC284" t="s">
        <v>54</v>
      </c>
      <c r="AD284">
        <v>39705.14</v>
      </c>
      <c r="AE284" t="b">
        <v>0</v>
      </c>
      <c r="AF284">
        <v>1587150.38</v>
      </c>
    </row>
    <row r="285" spans="1:32" x14ac:dyDescent="0.3">
      <c r="A285" t="s">
        <v>693</v>
      </c>
      <c r="B285" t="s">
        <v>694</v>
      </c>
      <c r="C285" t="s">
        <v>30</v>
      </c>
      <c r="D285" t="s">
        <v>31</v>
      </c>
      <c r="E285">
        <v>840300</v>
      </c>
      <c r="F285">
        <v>60</v>
      </c>
      <c r="G285">
        <v>12.49</v>
      </c>
      <c r="H285">
        <v>324178.21999999997</v>
      </c>
      <c r="I285">
        <v>0</v>
      </c>
      <c r="J285">
        <v>0</v>
      </c>
      <c r="K285">
        <v>0</v>
      </c>
      <c r="L285">
        <v>1</v>
      </c>
      <c r="M285">
        <v>142117484.08000001</v>
      </c>
      <c r="N285" s="1">
        <v>45596</v>
      </c>
      <c r="O285" t="s">
        <v>32</v>
      </c>
      <c r="P285" t="s">
        <v>74</v>
      </c>
      <c r="Q285" s="1">
        <v>44467</v>
      </c>
      <c r="R285" t="s">
        <v>89</v>
      </c>
      <c r="S285" t="s">
        <v>358</v>
      </c>
      <c r="T285">
        <v>2021</v>
      </c>
      <c r="U285">
        <v>767</v>
      </c>
      <c r="V285">
        <v>749</v>
      </c>
      <c r="W285" t="s">
        <v>70</v>
      </c>
      <c r="X285">
        <v>4302000</v>
      </c>
      <c r="Y285">
        <v>5.2699999999999997E-2</v>
      </c>
      <c r="Z285">
        <v>52</v>
      </c>
      <c r="AA285" t="s">
        <v>113</v>
      </c>
      <c r="AB285" t="s">
        <v>38</v>
      </c>
      <c r="AC285" t="s">
        <v>54</v>
      </c>
      <c r="AD285">
        <v>18900.740000000002</v>
      </c>
      <c r="AE285" t="b">
        <v>0</v>
      </c>
      <c r="AF285">
        <v>568176.56999999995</v>
      </c>
    </row>
    <row r="286" spans="1:32" x14ac:dyDescent="0.3">
      <c r="A286" t="s">
        <v>695</v>
      </c>
      <c r="B286" t="s">
        <v>696</v>
      </c>
      <c r="C286" t="s">
        <v>42</v>
      </c>
      <c r="D286" t="s">
        <v>84</v>
      </c>
      <c r="E286">
        <v>310600</v>
      </c>
      <c r="F286">
        <v>36</v>
      </c>
      <c r="G286">
        <v>12.56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142117484.08000001</v>
      </c>
      <c r="N286" s="1">
        <v>45596</v>
      </c>
      <c r="O286" t="s">
        <v>32</v>
      </c>
      <c r="P286" t="s">
        <v>50</v>
      </c>
      <c r="Q286" s="1">
        <v>44460</v>
      </c>
      <c r="R286" t="s">
        <v>99</v>
      </c>
      <c r="S286" t="s">
        <v>157</v>
      </c>
      <c r="T286">
        <v>2018</v>
      </c>
      <c r="U286">
        <v>767</v>
      </c>
      <c r="V286">
        <v>797</v>
      </c>
      <c r="W286" t="s">
        <v>63</v>
      </c>
      <c r="X286">
        <v>3039000</v>
      </c>
      <c r="Y286">
        <v>4.1099999999999998E-2</v>
      </c>
      <c r="Z286">
        <v>29</v>
      </c>
      <c r="AA286" t="s">
        <v>126</v>
      </c>
      <c r="AB286" t="s">
        <v>38</v>
      </c>
      <c r="AC286" t="s">
        <v>39</v>
      </c>
      <c r="AD286">
        <v>10399.64</v>
      </c>
      <c r="AE286" t="b">
        <v>0</v>
      </c>
      <c r="AF286">
        <v>210506.95</v>
      </c>
    </row>
    <row r="287" spans="1:32" x14ac:dyDescent="0.3">
      <c r="A287" t="s">
        <v>697</v>
      </c>
      <c r="B287" t="s">
        <v>698</v>
      </c>
      <c r="C287" t="s">
        <v>103</v>
      </c>
      <c r="D287" t="s">
        <v>31</v>
      </c>
      <c r="E287">
        <v>1537800</v>
      </c>
      <c r="F287">
        <v>72</v>
      </c>
      <c r="G287">
        <v>7.76</v>
      </c>
      <c r="H287">
        <v>1142615.21</v>
      </c>
      <c r="I287">
        <v>0</v>
      </c>
      <c r="J287">
        <v>0</v>
      </c>
      <c r="K287">
        <v>0</v>
      </c>
      <c r="L287">
        <v>1</v>
      </c>
      <c r="M287">
        <v>142117484.08000001</v>
      </c>
      <c r="N287" s="1">
        <v>45596</v>
      </c>
      <c r="O287" t="s">
        <v>32</v>
      </c>
      <c r="P287" t="s">
        <v>33</v>
      </c>
      <c r="Q287" s="1">
        <v>45102</v>
      </c>
      <c r="R287" t="s">
        <v>51</v>
      </c>
      <c r="S287" t="s">
        <v>52</v>
      </c>
      <c r="T287">
        <v>2023</v>
      </c>
      <c r="U287">
        <v>768</v>
      </c>
      <c r="V287">
        <v>792</v>
      </c>
      <c r="W287" t="s">
        <v>57</v>
      </c>
      <c r="X287">
        <v>1718000</v>
      </c>
      <c r="Y287">
        <v>0.18709999999999999</v>
      </c>
      <c r="Z287">
        <v>27</v>
      </c>
      <c r="AA287" t="s">
        <v>53</v>
      </c>
      <c r="AB287" t="s">
        <v>38</v>
      </c>
      <c r="AC287" t="s">
        <v>39</v>
      </c>
      <c r="AD287">
        <v>26782.77</v>
      </c>
      <c r="AE287" t="b">
        <v>0</v>
      </c>
      <c r="AF287">
        <v>1925535.05</v>
      </c>
    </row>
    <row r="288" spans="1:32" x14ac:dyDescent="0.3">
      <c r="A288" t="s">
        <v>699</v>
      </c>
      <c r="B288" t="s">
        <v>700</v>
      </c>
      <c r="C288" t="s">
        <v>67</v>
      </c>
      <c r="D288" t="s">
        <v>31</v>
      </c>
      <c r="E288">
        <v>1990700</v>
      </c>
      <c r="F288">
        <v>72</v>
      </c>
      <c r="G288">
        <v>8.6</v>
      </c>
      <c r="H288">
        <v>1767356.72</v>
      </c>
      <c r="I288">
        <v>0</v>
      </c>
      <c r="J288">
        <v>0</v>
      </c>
      <c r="K288">
        <v>0</v>
      </c>
      <c r="L288">
        <v>1</v>
      </c>
      <c r="M288">
        <v>142117484.08000001</v>
      </c>
      <c r="N288" s="1">
        <v>45596</v>
      </c>
      <c r="O288" t="s">
        <v>32</v>
      </c>
      <c r="P288" t="s">
        <v>50</v>
      </c>
      <c r="Q288" s="1">
        <v>45287</v>
      </c>
      <c r="R288" t="s">
        <v>85</v>
      </c>
      <c r="S288" t="s">
        <v>86</v>
      </c>
      <c r="T288">
        <v>2023</v>
      </c>
      <c r="U288">
        <v>768</v>
      </c>
      <c r="V288">
        <v>740</v>
      </c>
      <c r="W288" t="s">
        <v>57</v>
      </c>
      <c r="X288">
        <v>1269000</v>
      </c>
      <c r="Y288">
        <v>0.33560000000000001</v>
      </c>
      <c r="Z288">
        <v>40</v>
      </c>
      <c r="AA288" t="s">
        <v>76</v>
      </c>
      <c r="AB288" t="s">
        <v>38</v>
      </c>
      <c r="AC288" t="s">
        <v>54</v>
      </c>
      <c r="AD288">
        <v>35489.51</v>
      </c>
      <c r="AE288" t="b">
        <v>0</v>
      </c>
      <c r="AF288">
        <v>2727929.32</v>
      </c>
    </row>
    <row r="289" spans="1:32" x14ac:dyDescent="0.3">
      <c r="A289" t="s">
        <v>701</v>
      </c>
      <c r="B289" t="s">
        <v>702</v>
      </c>
      <c r="C289" t="s">
        <v>103</v>
      </c>
      <c r="D289" t="s">
        <v>31</v>
      </c>
      <c r="E289">
        <v>1153300</v>
      </c>
      <c r="F289">
        <v>36</v>
      </c>
      <c r="G289">
        <v>14.1</v>
      </c>
      <c r="H289">
        <v>353838.89</v>
      </c>
      <c r="I289">
        <v>0</v>
      </c>
      <c r="J289">
        <v>0</v>
      </c>
      <c r="K289">
        <v>0</v>
      </c>
      <c r="L289">
        <v>1</v>
      </c>
      <c r="M289">
        <v>142117484.08000001</v>
      </c>
      <c r="N289" s="1">
        <v>45596</v>
      </c>
      <c r="O289" t="s">
        <v>32</v>
      </c>
      <c r="P289" t="s">
        <v>74</v>
      </c>
      <c r="Q289" s="1">
        <v>44842</v>
      </c>
      <c r="R289" t="s">
        <v>85</v>
      </c>
      <c r="S289" t="s">
        <v>440</v>
      </c>
      <c r="T289">
        <v>2022</v>
      </c>
      <c r="U289">
        <v>769</v>
      </c>
      <c r="V289">
        <v>759</v>
      </c>
      <c r="W289" t="s">
        <v>57</v>
      </c>
      <c r="X289">
        <v>827000</v>
      </c>
      <c r="Y289">
        <v>0.57279999999999998</v>
      </c>
      <c r="Z289">
        <v>61</v>
      </c>
      <c r="AA289" t="s">
        <v>162</v>
      </c>
      <c r="AB289" t="s">
        <v>38</v>
      </c>
      <c r="AC289" t="s">
        <v>54</v>
      </c>
      <c r="AD289">
        <v>39473.1</v>
      </c>
      <c r="AE289" t="b">
        <v>0</v>
      </c>
      <c r="AF289">
        <v>1156696.6299999999</v>
      </c>
    </row>
    <row r="290" spans="1:32" x14ac:dyDescent="0.3">
      <c r="A290" t="s">
        <v>703</v>
      </c>
      <c r="B290" t="s">
        <v>704</v>
      </c>
      <c r="C290" t="s">
        <v>98</v>
      </c>
      <c r="D290" t="s">
        <v>84</v>
      </c>
      <c r="E290">
        <v>904100</v>
      </c>
      <c r="F290">
        <v>84</v>
      </c>
      <c r="G290">
        <v>13.96</v>
      </c>
      <c r="H290">
        <v>650971.25</v>
      </c>
      <c r="I290">
        <v>0</v>
      </c>
      <c r="J290">
        <v>0</v>
      </c>
      <c r="K290">
        <v>0</v>
      </c>
      <c r="L290">
        <v>1</v>
      </c>
      <c r="M290">
        <v>142117484.08000001</v>
      </c>
      <c r="N290" s="1">
        <v>45596</v>
      </c>
      <c r="O290" t="s">
        <v>32</v>
      </c>
      <c r="P290" t="s">
        <v>50</v>
      </c>
      <c r="Q290" s="1">
        <v>44880</v>
      </c>
      <c r="R290" t="s">
        <v>99</v>
      </c>
      <c r="S290" t="s">
        <v>497</v>
      </c>
      <c r="T290">
        <v>2021</v>
      </c>
      <c r="U290">
        <v>769</v>
      </c>
      <c r="V290">
        <v>776</v>
      </c>
      <c r="W290" t="s">
        <v>70</v>
      </c>
      <c r="X290">
        <v>4143000</v>
      </c>
      <c r="Y290">
        <v>4.9000000000000002E-2</v>
      </c>
      <c r="Z290">
        <v>27</v>
      </c>
      <c r="AA290" t="s">
        <v>71</v>
      </c>
      <c r="AB290" t="s">
        <v>38</v>
      </c>
      <c r="AC290" t="s">
        <v>81</v>
      </c>
      <c r="AD290">
        <v>16922.87</v>
      </c>
      <c r="AE290" t="b">
        <v>0</v>
      </c>
      <c r="AF290">
        <v>749089.56</v>
      </c>
    </row>
    <row r="291" spans="1:32" x14ac:dyDescent="0.3">
      <c r="A291" t="s">
        <v>705</v>
      </c>
      <c r="B291" t="s">
        <v>706</v>
      </c>
      <c r="C291" t="s">
        <v>42</v>
      </c>
      <c r="D291" t="s">
        <v>31</v>
      </c>
      <c r="E291">
        <v>408000</v>
      </c>
      <c r="F291">
        <v>36</v>
      </c>
      <c r="G291">
        <v>13.37</v>
      </c>
      <c r="H291">
        <v>271318.40000000002</v>
      </c>
      <c r="I291">
        <v>0</v>
      </c>
      <c r="J291">
        <v>0</v>
      </c>
      <c r="K291">
        <v>17405.919999999998</v>
      </c>
      <c r="L291">
        <v>1</v>
      </c>
      <c r="M291">
        <v>142117484.08000001</v>
      </c>
      <c r="N291" s="1">
        <v>45596</v>
      </c>
      <c r="O291" t="s">
        <v>32</v>
      </c>
      <c r="P291" t="s">
        <v>33</v>
      </c>
      <c r="Q291" s="1">
        <v>45225</v>
      </c>
      <c r="R291" t="s">
        <v>61</v>
      </c>
      <c r="S291" t="s">
        <v>136</v>
      </c>
      <c r="T291">
        <v>2023</v>
      </c>
      <c r="U291">
        <v>770</v>
      </c>
      <c r="V291">
        <v>737</v>
      </c>
      <c r="W291" t="s">
        <v>63</v>
      </c>
      <c r="X291">
        <v>480000</v>
      </c>
      <c r="Y291">
        <v>0.34549999999999997</v>
      </c>
      <c r="Z291">
        <v>32</v>
      </c>
      <c r="AA291" t="s">
        <v>37</v>
      </c>
      <c r="AB291" t="s">
        <v>38</v>
      </c>
      <c r="AC291" t="s">
        <v>54</v>
      </c>
      <c r="AD291">
        <v>13819.96</v>
      </c>
      <c r="AE291" t="b">
        <v>0</v>
      </c>
      <c r="AF291">
        <v>611225.79</v>
      </c>
    </row>
    <row r="292" spans="1:32" x14ac:dyDescent="0.3">
      <c r="A292" t="s">
        <v>707</v>
      </c>
      <c r="B292" t="s">
        <v>708</v>
      </c>
      <c r="C292" t="s">
        <v>42</v>
      </c>
      <c r="D292" t="s">
        <v>31</v>
      </c>
      <c r="E292">
        <v>308500</v>
      </c>
      <c r="F292">
        <v>48</v>
      </c>
      <c r="G292">
        <v>8.0399999999999991</v>
      </c>
      <c r="H292">
        <v>50664.83</v>
      </c>
      <c r="I292">
        <v>0</v>
      </c>
      <c r="J292">
        <v>0</v>
      </c>
      <c r="K292">
        <v>0</v>
      </c>
      <c r="L292">
        <v>1</v>
      </c>
      <c r="M292">
        <v>142117484.08000001</v>
      </c>
      <c r="N292" s="1">
        <v>45596</v>
      </c>
      <c r="O292" t="s">
        <v>32</v>
      </c>
      <c r="P292" t="s">
        <v>50</v>
      </c>
      <c r="Q292" s="1">
        <v>44348</v>
      </c>
      <c r="R292" t="s">
        <v>68</v>
      </c>
      <c r="S292" t="s">
        <v>205</v>
      </c>
      <c r="T292">
        <v>2021</v>
      </c>
      <c r="U292">
        <v>770</v>
      </c>
      <c r="V292">
        <v>737</v>
      </c>
      <c r="W292" t="s">
        <v>63</v>
      </c>
      <c r="X292">
        <v>3897000</v>
      </c>
      <c r="Y292">
        <v>2.3199999999999998E-2</v>
      </c>
      <c r="Z292">
        <v>51</v>
      </c>
      <c r="AA292" t="s">
        <v>108</v>
      </c>
      <c r="AB292" t="s">
        <v>38</v>
      </c>
      <c r="AC292" t="s">
        <v>39</v>
      </c>
      <c r="AD292">
        <v>7537.18</v>
      </c>
      <c r="AE292" t="b">
        <v>0</v>
      </c>
      <c r="AF292">
        <v>267706.02</v>
      </c>
    </row>
    <row r="293" spans="1:32" x14ac:dyDescent="0.3">
      <c r="A293" t="s">
        <v>709</v>
      </c>
      <c r="B293" t="s">
        <v>710</v>
      </c>
      <c r="C293" t="s">
        <v>30</v>
      </c>
      <c r="D293" t="s">
        <v>31</v>
      </c>
      <c r="E293">
        <v>1705200</v>
      </c>
      <c r="F293">
        <v>84</v>
      </c>
      <c r="G293">
        <v>14.3</v>
      </c>
      <c r="H293">
        <v>1441498.22</v>
      </c>
      <c r="I293">
        <v>54</v>
      </c>
      <c r="J293">
        <v>0</v>
      </c>
      <c r="K293">
        <v>0</v>
      </c>
      <c r="L293">
        <v>2</v>
      </c>
      <c r="M293">
        <v>142117484.08000001</v>
      </c>
      <c r="N293" s="1">
        <v>45596</v>
      </c>
      <c r="O293" t="s">
        <v>116</v>
      </c>
      <c r="P293" t="s">
        <v>74</v>
      </c>
      <c r="Q293" s="1">
        <v>45333</v>
      </c>
      <c r="R293" t="s">
        <v>61</v>
      </c>
      <c r="S293" t="s">
        <v>75</v>
      </c>
      <c r="T293">
        <v>2024</v>
      </c>
      <c r="U293">
        <v>770</v>
      </c>
      <c r="V293">
        <v>722</v>
      </c>
      <c r="W293" t="s">
        <v>63</v>
      </c>
      <c r="X293">
        <v>2596000</v>
      </c>
      <c r="Y293">
        <v>0.14899999999999999</v>
      </c>
      <c r="Z293">
        <v>37</v>
      </c>
      <c r="AA293" t="s">
        <v>126</v>
      </c>
      <c r="AB293" t="s">
        <v>38</v>
      </c>
      <c r="AC293" t="s">
        <v>54</v>
      </c>
      <c r="AD293">
        <v>32238.73</v>
      </c>
      <c r="AE293" t="b">
        <v>0</v>
      </c>
      <c r="AF293">
        <v>1755342.73</v>
      </c>
    </row>
    <row r="294" spans="1:32" x14ac:dyDescent="0.3">
      <c r="A294" t="s">
        <v>711</v>
      </c>
      <c r="B294" t="s">
        <v>712</v>
      </c>
      <c r="C294" t="s">
        <v>98</v>
      </c>
      <c r="D294" t="s">
        <v>43</v>
      </c>
      <c r="E294">
        <v>753200</v>
      </c>
      <c r="F294">
        <v>48</v>
      </c>
      <c r="G294">
        <v>9.0299999999999994</v>
      </c>
      <c r="H294">
        <v>643021.93999999994</v>
      </c>
      <c r="I294">
        <v>0</v>
      </c>
      <c r="J294">
        <v>0</v>
      </c>
      <c r="K294">
        <v>0</v>
      </c>
      <c r="L294">
        <v>1</v>
      </c>
      <c r="M294">
        <v>142117484.08000001</v>
      </c>
      <c r="N294" s="1">
        <v>45596</v>
      </c>
      <c r="O294" t="s">
        <v>32</v>
      </c>
      <c r="P294" t="s">
        <v>50</v>
      </c>
      <c r="Q294" s="1">
        <v>45439</v>
      </c>
      <c r="R294" t="s">
        <v>34</v>
      </c>
      <c r="S294" t="s">
        <v>35</v>
      </c>
      <c r="T294">
        <v>2023</v>
      </c>
      <c r="U294">
        <v>770</v>
      </c>
      <c r="V294">
        <v>723</v>
      </c>
      <c r="W294" t="s">
        <v>36</v>
      </c>
      <c r="X294">
        <v>2270000</v>
      </c>
      <c r="Y294">
        <v>9.9099999999999994E-2</v>
      </c>
      <c r="Z294">
        <v>37</v>
      </c>
      <c r="AA294" t="s">
        <v>53</v>
      </c>
      <c r="AB294" t="s">
        <v>38</v>
      </c>
      <c r="AC294" t="s">
        <v>81</v>
      </c>
      <c r="AD294">
        <v>18754.150000000001</v>
      </c>
      <c r="AE294" t="b">
        <v>0</v>
      </c>
      <c r="AF294">
        <v>1069806.6000000001</v>
      </c>
    </row>
    <row r="295" spans="1:32" x14ac:dyDescent="0.3">
      <c r="A295" t="s">
        <v>713</v>
      </c>
      <c r="B295" t="s">
        <v>714</v>
      </c>
      <c r="C295" t="s">
        <v>30</v>
      </c>
      <c r="D295" t="s">
        <v>31</v>
      </c>
      <c r="E295">
        <v>1703600</v>
      </c>
      <c r="F295">
        <v>36</v>
      </c>
      <c r="G295">
        <v>12.62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142117484.08000001</v>
      </c>
      <c r="N295" s="1">
        <v>45596</v>
      </c>
      <c r="O295" t="s">
        <v>32</v>
      </c>
      <c r="P295" t="s">
        <v>74</v>
      </c>
      <c r="Q295" s="1">
        <v>44426</v>
      </c>
      <c r="R295" t="s">
        <v>61</v>
      </c>
      <c r="S295" t="s">
        <v>75</v>
      </c>
      <c r="T295">
        <v>2021</v>
      </c>
      <c r="U295">
        <v>771</v>
      </c>
      <c r="V295">
        <v>791</v>
      </c>
      <c r="W295" t="s">
        <v>63</v>
      </c>
      <c r="X295">
        <v>903000</v>
      </c>
      <c r="Y295">
        <v>0.75870000000000004</v>
      </c>
      <c r="Z295">
        <v>59</v>
      </c>
      <c r="AA295" t="s">
        <v>71</v>
      </c>
      <c r="AB295" t="s">
        <v>38</v>
      </c>
      <c r="AC295" t="s">
        <v>54</v>
      </c>
      <c r="AD295">
        <v>57089.7</v>
      </c>
      <c r="AE295" t="b">
        <v>0</v>
      </c>
      <c r="AF295">
        <v>896909.34</v>
      </c>
    </row>
    <row r="296" spans="1:32" x14ac:dyDescent="0.3">
      <c r="A296" t="s">
        <v>715</v>
      </c>
      <c r="B296" t="s">
        <v>716</v>
      </c>
      <c r="C296" t="s">
        <v>103</v>
      </c>
      <c r="D296" t="s">
        <v>84</v>
      </c>
      <c r="E296">
        <v>472100</v>
      </c>
      <c r="F296">
        <v>84</v>
      </c>
      <c r="G296">
        <v>8.43</v>
      </c>
      <c r="H296">
        <v>472100</v>
      </c>
      <c r="I296">
        <v>0</v>
      </c>
      <c r="J296">
        <v>0</v>
      </c>
      <c r="K296">
        <v>0</v>
      </c>
      <c r="L296">
        <v>1</v>
      </c>
      <c r="M296">
        <v>142117484.08000001</v>
      </c>
      <c r="N296" s="1">
        <v>45596</v>
      </c>
      <c r="O296" t="s">
        <v>32</v>
      </c>
      <c r="P296" t="s">
        <v>50</v>
      </c>
      <c r="Q296" s="1">
        <v>45489</v>
      </c>
      <c r="R296" t="s">
        <v>171</v>
      </c>
      <c r="S296" t="s">
        <v>172</v>
      </c>
      <c r="T296">
        <v>2023</v>
      </c>
      <c r="U296">
        <v>771</v>
      </c>
      <c r="V296">
        <v>773</v>
      </c>
      <c r="W296" t="s">
        <v>70</v>
      </c>
      <c r="X296">
        <v>1442000</v>
      </c>
      <c r="Y296">
        <v>6.2100000000000002E-2</v>
      </c>
      <c r="Z296">
        <v>58</v>
      </c>
      <c r="AA296" t="s">
        <v>91</v>
      </c>
      <c r="AB296" t="s">
        <v>38</v>
      </c>
      <c r="AC296" t="s">
        <v>54</v>
      </c>
      <c r="AD296">
        <v>7459.8</v>
      </c>
      <c r="AE296" t="b">
        <v>0</v>
      </c>
      <c r="AF296">
        <v>511084.7</v>
      </c>
    </row>
    <row r="297" spans="1:32" x14ac:dyDescent="0.3">
      <c r="A297" t="s">
        <v>717</v>
      </c>
      <c r="B297" t="s">
        <v>718</v>
      </c>
      <c r="C297" t="s">
        <v>30</v>
      </c>
      <c r="D297" t="s">
        <v>43</v>
      </c>
      <c r="E297">
        <v>686000</v>
      </c>
      <c r="F297">
        <v>72</v>
      </c>
      <c r="G297">
        <v>10.41</v>
      </c>
      <c r="H297">
        <v>487810.04</v>
      </c>
      <c r="I297">
        <v>0</v>
      </c>
      <c r="J297">
        <v>0</v>
      </c>
      <c r="K297">
        <v>0</v>
      </c>
      <c r="L297">
        <v>1</v>
      </c>
      <c r="M297">
        <v>142117484.08000001</v>
      </c>
      <c r="N297" s="1">
        <v>45596</v>
      </c>
      <c r="O297" t="s">
        <v>32</v>
      </c>
      <c r="P297" t="s">
        <v>74</v>
      </c>
      <c r="Q297" s="1">
        <v>45078</v>
      </c>
      <c r="R297" t="s">
        <v>99</v>
      </c>
      <c r="S297" t="s">
        <v>497</v>
      </c>
      <c r="T297">
        <v>2018</v>
      </c>
      <c r="U297">
        <v>771</v>
      </c>
      <c r="V297">
        <v>729</v>
      </c>
      <c r="W297" t="s">
        <v>36</v>
      </c>
      <c r="X297">
        <v>1272000</v>
      </c>
      <c r="Y297">
        <v>0.1212</v>
      </c>
      <c r="Z297">
        <v>43</v>
      </c>
      <c r="AA297" t="s">
        <v>140</v>
      </c>
      <c r="AB297" t="s">
        <v>38</v>
      </c>
      <c r="AC297" t="s">
        <v>54</v>
      </c>
      <c r="AD297">
        <v>12851.02</v>
      </c>
      <c r="AE297" t="b">
        <v>0</v>
      </c>
      <c r="AF297">
        <v>759112.4</v>
      </c>
    </row>
    <row r="298" spans="1:32" x14ac:dyDescent="0.3">
      <c r="A298" t="s">
        <v>719</v>
      </c>
      <c r="B298" t="s">
        <v>720</v>
      </c>
      <c r="C298" t="s">
        <v>103</v>
      </c>
      <c r="D298" t="s">
        <v>31</v>
      </c>
      <c r="E298">
        <v>1368600</v>
      </c>
      <c r="F298">
        <v>72</v>
      </c>
      <c r="G298">
        <v>11.95</v>
      </c>
      <c r="H298">
        <v>995259.47</v>
      </c>
      <c r="I298">
        <v>0</v>
      </c>
      <c r="J298">
        <v>0</v>
      </c>
      <c r="K298">
        <v>0</v>
      </c>
      <c r="L298">
        <v>1</v>
      </c>
      <c r="M298">
        <v>142117484.08000001</v>
      </c>
      <c r="N298" s="1">
        <v>45596</v>
      </c>
      <c r="O298" t="s">
        <v>32</v>
      </c>
      <c r="P298" t="s">
        <v>44</v>
      </c>
      <c r="Q298" s="1">
        <v>45131</v>
      </c>
      <c r="R298" t="s">
        <v>171</v>
      </c>
      <c r="S298" t="s">
        <v>475</v>
      </c>
      <c r="T298">
        <v>2023</v>
      </c>
      <c r="U298">
        <v>771</v>
      </c>
      <c r="V298">
        <v>796</v>
      </c>
      <c r="W298" t="s">
        <v>36</v>
      </c>
      <c r="X298">
        <v>2563000</v>
      </c>
      <c r="Y298">
        <v>0.12509999999999999</v>
      </c>
      <c r="Z298">
        <v>38</v>
      </c>
      <c r="AA298" t="s">
        <v>108</v>
      </c>
      <c r="AB298" t="s">
        <v>38</v>
      </c>
      <c r="AC298" t="s">
        <v>39</v>
      </c>
      <c r="AD298">
        <v>26720.82</v>
      </c>
      <c r="AE298" t="b">
        <v>1</v>
      </c>
      <c r="AF298">
        <v>1464274.74</v>
      </c>
    </row>
    <row r="299" spans="1:32" x14ac:dyDescent="0.3">
      <c r="A299" t="s">
        <v>721</v>
      </c>
      <c r="B299" t="s">
        <v>722</v>
      </c>
      <c r="C299" t="s">
        <v>30</v>
      </c>
      <c r="D299" t="s">
        <v>31</v>
      </c>
      <c r="E299">
        <v>971100</v>
      </c>
      <c r="F299">
        <v>60</v>
      </c>
      <c r="G299">
        <v>12.48</v>
      </c>
      <c r="H299">
        <v>606537.59</v>
      </c>
      <c r="I299">
        <v>0</v>
      </c>
      <c r="J299">
        <v>0</v>
      </c>
      <c r="K299">
        <v>0</v>
      </c>
      <c r="L299">
        <v>1</v>
      </c>
      <c r="M299">
        <v>142117484.08000001</v>
      </c>
      <c r="N299" s="1">
        <v>45596</v>
      </c>
      <c r="O299" t="s">
        <v>32</v>
      </c>
      <c r="P299" t="s">
        <v>44</v>
      </c>
      <c r="Q299" s="1">
        <v>44932</v>
      </c>
      <c r="R299" t="s">
        <v>99</v>
      </c>
      <c r="S299" t="s">
        <v>200</v>
      </c>
      <c r="T299">
        <v>2023</v>
      </c>
      <c r="U299">
        <v>771</v>
      </c>
      <c r="V299">
        <v>738</v>
      </c>
      <c r="W299" t="s">
        <v>63</v>
      </c>
      <c r="X299">
        <v>3414000</v>
      </c>
      <c r="Y299">
        <v>7.6799999999999993E-2</v>
      </c>
      <c r="Z299">
        <v>57</v>
      </c>
      <c r="AA299" t="s">
        <v>226</v>
      </c>
      <c r="AB299" t="s">
        <v>38</v>
      </c>
      <c r="AC299" t="s">
        <v>39</v>
      </c>
      <c r="AD299">
        <v>21837.87</v>
      </c>
      <c r="AE299" t="b">
        <v>1</v>
      </c>
      <c r="AF299">
        <v>971483.44</v>
      </c>
    </row>
    <row r="300" spans="1:32" x14ac:dyDescent="0.3">
      <c r="A300" t="s">
        <v>723</v>
      </c>
      <c r="B300" t="s">
        <v>724</v>
      </c>
      <c r="C300" t="s">
        <v>30</v>
      </c>
      <c r="D300" t="s">
        <v>31</v>
      </c>
      <c r="E300">
        <v>588300</v>
      </c>
      <c r="F300">
        <v>36</v>
      </c>
      <c r="G300">
        <v>7.7</v>
      </c>
      <c r="H300">
        <v>94597.89</v>
      </c>
      <c r="I300">
        <v>17</v>
      </c>
      <c r="J300">
        <v>0</v>
      </c>
      <c r="K300">
        <v>17249.669999999998</v>
      </c>
      <c r="L300">
        <v>1</v>
      </c>
      <c r="M300">
        <v>142117484.08000001</v>
      </c>
      <c r="N300" s="1">
        <v>45596</v>
      </c>
      <c r="O300" t="s">
        <v>139</v>
      </c>
      <c r="P300" t="s">
        <v>33</v>
      </c>
      <c r="Q300" s="1">
        <v>44659</v>
      </c>
      <c r="R300" t="s">
        <v>85</v>
      </c>
      <c r="S300" t="s">
        <v>86</v>
      </c>
      <c r="T300">
        <v>2022</v>
      </c>
      <c r="U300">
        <v>771</v>
      </c>
      <c r="V300">
        <v>751</v>
      </c>
      <c r="W300" t="s">
        <v>36</v>
      </c>
      <c r="X300">
        <v>1687000</v>
      </c>
      <c r="Y300">
        <v>0.13059999999999999</v>
      </c>
      <c r="Z300">
        <v>61</v>
      </c>
      <c r="AA300" t="s">
        <v>104</v>
      </c>
      <c r="AB300" t="s">
        <v>38</v>
      </c>
      <c r="AC300" t="s">
        <v>54</v>
      </c>
      <c r="AD300">
        <v>18353.87</v>
      </c>
      <c r="AE300" t="b">
        <v>0</v>
      </c>
      <c r="AF300">
        <v>484667.12</v>
      </c>
    </row>
    <row r="301" spans="1:32" x14ac:dyDescent="0.3">
      <c r="A301" t="s">
        <v>725</v>
      </c>
      <c r="B301" t="s">
        <v>726</v>
      </c>
      <c r="C301" t="s">
        <v>98</v>
      </c>
      <c r="D301" t="s">
        <v>31</v>
      </c>
      <c r="E301">
        <v>993600</v>
      </c>
      <c r="F301">
        <v>60</v>
      </c>
      <c r="G301">
        <v>13.06</v>
      </c>
      <c r="H301">
        <v>383329.3</v>
      </c>
      <c r="I301">
        <v>0</v>
      </c>
      <c r="J301">
        <v>0</v>
      </c>
      <c r="K301">
        <v>0</v>
      </c>
      <c r="L301">
        <v>1</v>
      </c>
      <c r="M301">
        <v>142117484.08000001</v>
      </c>
      <c r="N301" s="1">
        <v>45596</v>
      </c>
      <c r="O301" t="s">
        <v>32</v>
      </c>
      <c r="P301" t="s">
        <v>44</v>
      </c>
      <c r="Q301" s="1">
        <v>44482</v>
      </c>
      <c r="R301" t="s">
        <v>89</v>
      </c>
      <c r="S301" t="s">
        <v>183</v>
      </c>
      <c r="T301">
        <v>2021</v>
      </c>
      <c r="U301">
        <v>771</v>
      </c>
      <c r="V301">
        <v>725</v>
      </c>
      <c r="W301" t="s">
        <v>36</v>
      </c>
      <c r="X301">
        <v>1068000</v>
      </c>
      <c r="Y301">
        <v>0.25440000000000002</v>
      </c>
      <c r="Z301">
        <v>58</v>
      </c>
      <c r="AA301" t="s">
        <v>233</v>
      </c>
      <c r="AB301" t="s">
        <v>38</v>
      </c>
      <c r="AC301" t="s">
        <v>39</v>
      </c>
      <c r="AD301">
        <v>22637.98</v>
      </c>
      <c r="AE301" t="b">
        <v>0</v>
      </c>
      <c r="AF301">
        <v>745877.54</v>
      </c>
    </row>
    <row r="302" spans="1:32" x14ac:dyDescent="0.3">
      <c r="A302" t="s">
        <v>727</v>
      </c>
      <c r="B302" t="s">
        <v>728</v>
      </c>
      <c r="C302" t="s">
        <v>30</v>
      </c>
      <c r="D302" t="s">
        <v>31</v>
      </c>
      <c r="E302">
        <v>1476800</v>
      </c>
      <c r="F302">
        <v>36</v>
      </c>
      <c r="G302">
        <v>11.69</v>
      </c>
      <c r="H302">
        <v>931697.09</v>
      </c>
      <c r="I302">
        <v>0</v>
      </c>
      <c r="J302">
        <v>0</v>
      </c>
      <c r="K302">
        <v>0</v>
      </c>
      <c r="L302">
        <v>1</v>
      </c>
      <c r="M302">
        <v>142117484.08000001</v>
      </c>
      <c r="N302" s="1">
        <v>45596</v>
      </c>
      <c r="O302" t="s">
        <v>32</v>
      </c>
      <c r="P302" t="s">
        <v>50</v>
      </c>
      <c r="Q302" s="1">
        <v>45220</v>
      </c>
      <c r="R302" t="s">
        <v>68</v>
      </c>
      <c r="S302" t="s">
        <v>133</v>
      </c>
      <c r="T302">
        <v>2023</v>
      </c>
      <c r="U302">
        <v>772</v>
      </c>
      <c r="V302">
        <v>802</v>
      </c>
      <c r="W302" t="s">
        <v>36</v>
      </c>
      <c r="X302">
        <v>3709000</v>
      </c>
      <c r="Y302">
        <v>0.158</v>
      </c>
      <c r="Z302">
        <v>30</v>
      </c>
      <c r="AA302" t="s">
        <v>113</v>
      </c>
      <c r="AB302" t="s">
        <v>38</v>
      </c>
      <c r="AC302" t="s">
        <v>39</v>
      </c>
      <c r="AD302">
        <v>48832.52</v>
      </c>
      <c r="AE302" t="b">
        <v>0</v>
      </c>
      <c r="AF302">
        <v>1547355.26</v>
      </c>
    </row>
    <row r="303" spans="1:32" x14ac:dyDescent="0.3">
      <c r="A303" t="s">
        <v>729</v>
      </c>
      <c r="B303" t="s">
        <v>730</v>
      </c>
      <c r="C303" t="s">
        <v>98</v>
      </c>
      <c r="D303" t="s">
        <v>31</v>
      </c>
      <c r="E303">
        <v>669200</v>
      </c>
      <c r="F303">
        <v>84</v>
      </c>
      <c r="G303">
        <v>13.35</v>
      </c>
      <c r="H303">
        <v>582956.54</v>
      </c>
      <c r="I303">
        <v>0</v>
      </c>
      <c r="J303">
        <v>0</v>
      </c>
      <c r="K303">
        <v>0</v>
      </c>
      <c r="L303">
        <v>1</v>
      </c>
      <c r="M303">
        <v>142117484.08000001</v>
      </c>
      <c r="N303" s="1">
        <v>45596</v>
      </c>
      <c r="O303" t="s">
        <v>32</v>
      </c>
      <c r="P303" t="s">
        <v>33</v>
      </c>
      <c r="Q303" s="1">
        <v>45144</v>
      </c>
      <c r="R303" t="s">
        <v>34</v>
      </c>
      <c r="S303" t="s">
        <v>361</v>
      </c>
      <c r="T303">
        <v>2023</v>
      </c>
      <c r="U303">
        <v>773</v>
      </c>
      <c r="V303">
        <v>750</v>
      </c>
      <c r="W303" t="s">
        <v>63</v>
      </c>
      <c r="X303">
        <v>2210000</v>
      </c>
      <c r="Y303">
        <v>6.6799999999999998E-2</v>
      </c>
      <c r="Z303">
        <v>38</v>
      </c>
      <c r="AA303" t="s">
        <v>162</v>
      </c>
      <c r="AB303" t="s">
        <v>38</v>
      </c>
      <c r="AC303" t="s">
        <v>54</v>
      </c>
      <c r="AD303">
        <v>12301.76</v>
      </c>
      <c r="AE303" t="b">
        <v>0</v>
      </c>
      <c r="AF303">
        <v>683573.78</v>
      </c>
    </row>
    <row r="304" spans="1:32" x14ac:dyDescent="0.3">
      <c r="A304" t="s">
        <v>731</v>
      </c>
      <c r="B304" t="s">
        <v>732</v>
      </c>
      <c r="C304" t="s">
        <v>98</v>
      </c>
      <c r="D304" t="s">
        <v>31</v>
      </c>
      <c r="E304">
        <v>1238000</v>
      </c>
      <c r="F304">
        <v>84</v>
      </c>
      <c r="G304">
        <v>9.07</v>
      </c>
      <c r="H304">
        <v>661219.65</v>
      </c>
      <c r="I304">
        <v>18</v>
      </c>
      <c r="J304">
        <v>0</v>
      </c>
      <c r="K304">
        <v>0</v>
      </c>
      <c r="L304">
        <v>1</v>
      </c>
      <c r="M304">
        <v>142117484.08000001</v>
      </c>
      <c r="N304" s="1">
        <v>45596</v>
      </c>
      <c r="O304" t="s">
        <v>139</v>
      </c>
      <c r="P304" t="s">
        <v>50</v>
      </c>
      <c r="Q304" s="1">
        <v>44326</v>
      </c>
      <c r="R304" t="s">
        <v>51</v>
      </c>
      <c r="S304" t="s">
        <v>194</v>
      </c>
      <c r="T304">
        <v>2021</v>
      </c>
      <c r="U304">
        <v>773</v>
      </c>
      <c r="V304">
        <v>767</v>
      </c>
      <c r="W304" t="s">
        <v>57</v>
      </c>
      <c r="X304">
        <v>2289000</v>
      </c>
      <c r="Y304">
        <v>0.1047</v>
      </c>
      <c r="Z304">
        <v>58</v>
      </c>
      <c r="AA304" t="s">
        <v>80</v>
      </c>
      <c r="AB304" t="s">
        <v>38</v>
      </c>
      <c r="AC304" t="s">
        <v>39</v>
      </c>
      <c r="AD304">
        <v>19962.29</v>
      </c>
      <c r="AE304" t="b">
        <v>0</v>
      </c>
      <c r="AF304">
        <v>834096.12</v>
      </c>
    </row>
    <row r="305" spans="1:32" x14ac:dyDescent="0.3">
      <c r="A305" t="s">
        <v>733</v>
      </c>
      <c r="B305" t="s">
        <v>734</v>
      </c>
      <c r="C305" t="s">
        <v>103</v>
      </c>
      <c r="D305" t="s">
        <v>31</v>
      </c>
      <c r="E305">
        <v>1572900</v>
      </c>
      <c r="F305">
        <v>48</v>
      </c>
      <c r="G305">
        <v>9.3000000000000007</v>
      </c>
      <c r="H305">
        <v>889584.24</v>
      </c>
      <c r="I305">
        <v>0</v>
      </c>
      <c r="J305">
        <v>0</v>
      </c>
      <c r="K305">
        <v>0</v>
      </c>
      <c r="L305">
        <v>1</v>
      </c>
      <c r="M305">
        <v>142117484.08000001</v>
      </c>
      <c r="N305" s="1">
        <v>45596</v>
      </c>
      <c r="O305" t="s">
        <v>32</v>
      </c>
      <c r="P305" t="s">
        <v>33</v>
      </c>
      <c r="Q305" s="1">
        <v>44978</v>
      </c>
      <c r="R305" t="s">
        <v>85</v>
      </c>
      <c r="S305" t="s">
        <v>86</v>
      </c>
      <c r="T305">
        <v>2023</v>
      </c>
      <c r="U305">
        <v>773</v>
      </c>
      <c r="V305">
        <v>732</v>
      </c>
      <c r="W305" t="s">
        <v>70</v>
      </c>
      <c r="X305">
        <v>2942000</v>
      </c>
      <c r="Y305">
        <v>0.16059999999999999</v>
      </c>
      <c r="Z305">
        <v>41</v>
      </c>
      <c r="AA305" t="s">
        <v>104</v>
      </c>
      <c r="AB305" t="s">
        <v>38</v>
      </c>
      <c r="AC305" t="s">
        <v>81</v>
      </c>
      <c r="AD305">
        <v>39366.129999999997</v>
      </c>
      <c r="AE305" t="b">
        <v>0</v>
      </c>
      <c r="AF305">
        <v>1795948.66</v>
      </c>
    </row>
    <row r="306" spans="1:32" x14ac:dyDescent="0.3">
      <c r="A306" t="s">
        <v>735</v>
      </c>
      <c r="B306" t="s">
        <v>736</v>
      </c>
      <c r="C306" t="s">
        <v>103</v>
      </c>
      <c r="D306" t="s">
        <v>31</v>
      </c>
      <c r="E306">
        <v>2053700</v>
      </c>
      <c r="F306">
        <v>48</v>
      </c>
      <c r="G306">
        <v>9.65</v>
      </c>
      <c r="H306">
        <v>1870278.49</v>
      </c>
      <c r="I306">
        <v>0</v>
      </c>
      <c r="J306">
        <v>0</v>
      </c>
      <c r="K306">
        <v>0</v>
      </c>
      <c r="L306">
        <v>1</v>
      </c>
      <c r="M306">
        <v>142117484.08000001</v>
      </c>
      <c r="N306" s="1">
        <v>45596</v>
      </c>
      <c r="O306" t="s">
        <v>32</v>
      </c>
      <c r="P306" t="s">
        <v>74</v>
      </c>
      <c r="Q306" s="1">
        <v>45446</v>
      </c>
      <c r="R306" t="s">
        <v>61</v>
      </c>
      <c r="S306" t="s">
        <v>62</v>
      </c>
      <c r="T306">
        <v>2024</v>
      </c>
      <c r="U306">
        <v>773</v>
      </c>
      <c r="V306">
        <v>799</v>
      </c>
      <c r="W306" t="s">
        <v>57</v>
      </c>
      <c r="X306">
        <v>694000</v>
      </c>
      <c r="Y306">
        <v>0.89470000000000005</v>
      </c>
      <c r="Z306">
        <v>54</v>
      </c>
      <c r="AA306" t="s">
        <v>80</v>
      </c>
      <c r="AB306" t="s">
        <v>38</v>
      </c>
      <c r="AC306" t="s">
        <v>39</v>
      </c>
      <c r="AD306">
        <v>51742.62</v>
      </c>
      <c r="AE306" t="b">
        <v>0</v>
      </c>
      <c r="AF306">
        <v>3013647.12</v>
      </c>
    </row>
    <row r="307" spans="1:32" x14ac:dyDescent="0.3">
      <c r="A307" t="s">
        <v>737</v>
      </c>
      <c r="B307" t="s">
        <v>738</v>
      </c>
      <c r="C307" t="s">
        <v>30</v>
      </c>
      <c r="D307" t="s">
        <v>31</v>
      </c>
      <c r="E307">
        <v>497300</v>
      </c>
      <c r="F307">
        <v>60</v>
      </c>
      <c r="G307">
        <v>7.62</v>
      </c>
      <c r="H307">
        <v>442810.24</v>
      </c>
      <c r="I307">
        <v>0</v>
      </c>
      <c r="J307">
        <v>0</v>
      </c>
      <c r="K307">
        <v>0</v>
      </c>
      <c r="L307">
        <v>1</v>
      </c>
      <c r="M307">
        <v>142117484.08000001</v>
      </c>
      <c r="N307" s="1">
        <v>45596</v>
      </c>
      <c r="O307" t="s">
        <v>32</v>
      </c>
      <c r="P307" t="s">
        <v>44</v>
      </c>
      <c r="Q307" s="1">
        <v>45463</v>
      </c>
      <c r="R307" t="s">
        <v>68</v>
      </c>
      <c r="S307" t="s">
        <v>205</v>
      </c>
      <c r="T307">
        <v>2024</v>
      </c>
      <c r="U307">
        <v>774</v>
      </c>
      <c r="V307">
        <v>775</v>
      </c>
      <c r="W307" t="s">
        <v>70</v>
      </c>
      <c r="X307">
        <v>1398000</v>
      </c>
      <c r="Y307">
        <v>8.5800000000000001E-2</v>
      </c>
      <c r="Z307">
        <v>42</v>
      </c>
      <c r="AA307" t="s">
        <v>53</v>
      </c>
      <c r="AB307" t="s">
        <v>38</v>
      </c>
      <c r="AC307" t="s">
        <v>54</v>
      </c>
      <c r="AD307">
        <v>9993.25</v>
      </c>
      <c r="AE307" t="b">
        <v>0</v>
      </c>
      <c r="AF307">
        <v>609142.86</v>
      </c>
    </row>
    <row r="308" spans="1:32" x14ac:dyDescent="0.3">
      <c r="A308" t="s">
        <v>739</v>
      </c>
      <c r="B308" t="s">
        <v>740</v>
      </c>
      <c r="C308" t="s">
        <v>67</v>
      </c>
      <c r="D308" t="s">
        <v>31</v>
      </c>
      <c r="E308">
        <v>2232000</v>
      </c>
      <c r="F308">
        <v>36</v>
      </c>
      <c r="G308">
        <v>10.89</v>
      </c>
      <c r="H308">
        <v>1325137.98</v>
      </c>
      <c r="I308">
        <v>0</v>
      </c>
      <c r="J308">
        <v>0</v>
      </c>
      <c r="K308">
        <v>0</v>
      </c>
      <c r="L308">
        <v>1</v>
      </c>
      <c r="M308">
        <v>142117484.08000001</v>
      </c>
      <c r="N308" s="1">
        <v>45596</v>
      </c>
      <c r="O308" t="s">
        <v>32</v>
      </c>
      <c r="P308" t="s">
        <v>74</v>
      </c>
      <c r="Q308" s="1">
        <v>45199</v>
      </c>
      <c r="R308" t="s">
        <v>51</v>
      </c>
      <c r="S308" t="s">
        <v>79</v>
      </c>
      <c r="T308">
        <v>2023</v>
      </c>
      <c r="U308">
        <v>775</v>
      </c>
      <c r="V308">
        <v>778</v>
      </c>
      <c r="W308" t="s">
        <v>70</v>
      </c>
      <c r="X308">
        <v>2223000</v>
      </c>
      <c r="Y308">
        <v>0.39379999999999998</v>
      </c>
      <c r="Z308">
        <v>58</v>
      </c>
      <c r="AA308" t="s">
        <v>37</v>
      </c>
      <c r="AB308" t="s">
        <v>38</v>
      </c>
      <c r="AC308" t="s">
        <v>54</v>
      </c>
      <c r="AD308">
        <v>72956.600000000006</v>
      </c>
      <c r="AE308" t="b">
        <v>0</v>
      </c>
      <c r="AF308">
        <v>2201165.4</v>
      </c>
    </row>
    <row r="309" spans="1:32" x14ac:dyDescent="0.3">
      <c r="A309" t="s">
        <v>741</v>
      </c>
      <c r="B309" t="s">
        <v>742</v>
      </c>
      <c r="C309" t="s">
        <v>98</v>
      </c>
      <c r="D309" t="s">
        <v>43</v>
      </c>
      <c r="E309">
        <v>332000</v>
      </c>
      <c r="F309">
        <v>72</v>
      </c>
      <c r="G309">
        <v>12.59</v>
      </c>
      <c r="H309">
        <v>228124.46</v>
      </c>
      <c r="I309">
        <v>97</v>
      </c>
      <c r="J309">
        <v>0</v>
      </c>
      <c r="K309">
        <v>19673.72</v>
      </c>
      <c r="L309">
        <v>3</v>
      </c>
      <c r="M309">
        <v>142117484.08000001</v>
      </c>
      <c r="N309" s="1">
        <v>45596</v>
      </c>
      <c r="O309" t="s">
        <v>111</v>
      </c>
      <c r="P309" t="s">
        <v>33</v>
      </c>
      <c r="Q309" s="1">
        <v>44902</v>
      </c>
      <c r="R309" t="s">
        <v>51</v>
      </c>
      <c r="S309" t="s">
        <v>79</v>
      </c>
      <c r="T309">
        <v>2017</v>
      </c>
      <c r="U309">
        <v>775</v>
      </c>
      <c r="V309">
        <v>770</v>
      </c>
      <c r="W309" t="s">
        <v>63</v>
      </c>
      <c r="X309">
        <v>1911000</v>
      </c>
      <c r="Y309">
        <v>4.1399999999999999E-2</v>
      </c>
      <c r="Z309">
        <v>50</v>
      </c>
      <c r="AA309" t="s">
        <v>58</v>
      </c>
      <c r="AB309" t="s">
        <v>38</v>
      </c>
      <c r="AC309" t="s">
        <v>39</v>
      </c>
      <c r="AD309">
        <v>6592.98</v>
      </c>
      <c r="AE309" t="b">
        <v>0</v>
      </c>
      <c r="AF309">
        <v>411758.9</v>
      </c>
    </row>
    <row r="310" spans="1:32" x14ac:dyDescent="0.3">
      <c r="A310" t="s">
        <v>743</v>
      </c>
      <c r="B310" t="s">
        <v>744</v>
      </c>
      <c r="C310" t="s">
        <v>103</v>
      </c>
      <c r="D310" t="s">
        <v>31</v>
      </c>
      <c r="E310">
        <v>2005400</v>
      </c>
      <c r="F310">
        <v>84</v>
      </c>
      <c r="G310">
        <v>10.61</v>
      </c>
      <c r="H310">
        <v>1145675.31</v>
      </c>
      <c r="I310">
        <v>0</v>
      </c>
      <c r="J310">
        <v>0</v>
      </c>
      <c r="K310">
        <v>0</v>
      </c>
      <c r="L310">
        <v>1</v>
      </c>
      <c r="M310">
        <v>142117484.08000001</v>
      </c>
      <c r="N310" s="1">
        <v>45596</v>
      </c>
      <c r="O310" t="s">
        <v>32</v>
      </c>
      <c r="P310" t="s">
        <v>44</v>
      </c>
      <c r="Q310" s="1">
        <v>44443</v>
      </c>
      <c r="R310" t="s">
        <v>94</v>
      </c>
      <c r="S310" t="s">
        <v>95</v>
      </c>
      <c r="T310">
        <v>2021</v>
      </c>
      <c r="U310">
        <v>775</v>
      </c>
      <c r="V310">
        <v>727</v>
      </c>
      <c r="W310" t="s">
        <v>70</v>
      </c>
      <c r="X310">
        <v>3068000</v>
      </c>
      <c r="Y310">
        <v>0.13270000000000001</v>
      </c>
      <c r="Z310">
        <v>45</v>
      </c>
      <c r="AA310" t="s">
        <v>233</v>
      </c>
      <c r="AB310" t="s">
        <v>38</v>
      </c>
      <c r="AC310" t="s">
        <v>39</v>
      </c>
      <c r="AD310">
        <v>33927.49</v>
      </c>
      <c r="AE310" t="b">
        <v>0</v>
      </c>
      <c r="AF310">
        <v>1662965.55</v>
      </c>
    </row>
    <row r="311" spans="1:32" x14ac:dyDescent="0.3">
      <c r="A311" t="s">
        <v>745</v>
      </c>
      <c r="B311" t="s">
        <v>746</v>
      </c>
      <c r="C311" t="s">
        <v>30</v>
      </c>
      <c r="D311" t="s">
        <v>31</v>
      </c>
      <c r="E311">
        <v>1511200</v>
      </c>
      <c r="F311">
        <v>60</v>
      </c>
      <c r="G311">
        <v>11.87</v>
      </c>
      <c r="H311">
        <v>618052.77</v>
      </c>
      <c r="I311">
        <v>0</v>
      </c>
      <c r="J311">
        <v>0</v>
      </c>
      <c r="K311">
        <v>0</v>
      </c>
      <c r="L311">
        <v>1</v>
      </c>
      <c r="M311">
        <v>142117484.08000001</v>
      </c>
      <c r="N311" s="1">
        <v>45596</v>
      </c>
      <c r="O311" t="s">
        <v>32</v>
      </c>
      <c r="P311" t="s">
        <v>33</v>
      </c>
      <c r="Q311" s="1">
        <v>44586</v>
      </c>
      <c r="R311" t="s">
        <v>99</v>
      </c>
      <c r="S311" t="s">
        <v>157</v>
      </c>
      <c r="T311">
        <v>2022</v>
      </c>
      <c r="U311">
        <v>775</v>
      </c>
      <c r="V311">
        <v>745</v>
      </c>
      <c r="W311" t="s">
        <v>57</v>
      </c>
      <c r="X311">
        <v>1480000</v>
      </c>
      <c r="Y311">
        <v>0.27179999999999999</v>
      </c>
      <c r="Z311">
        <v>24</v>
      </c>
      <c r="AA311" t="s">
        <v>226</v>
      </c>
      <c r="AB311" t="s">
        <v>38</v>
      </c>
      <c r="AC311" t="s">
        <v>54</v>
      </c>
      <c r="AD311">
        <v>33516.620000000003</v>
      </c>
      <c r="AE311" t="b">
        <v>0</v>
      </c>
      <c r="AF311">
        <v>1101746.1399999999</v>
      </c>
    </row>
    <row r="312" spans="1:32" x14ac:dyDescent="0.3">
      <c r="A312" t="s">
        <v>747</v>
      </c>
      <c r="B312" t="s">
        <v>748</v>
      </c>
      <c r="C312" t="s">
        <v>103</v>
      </c>
      <c r="D312" t="s">
        <v>31</v>
      </c>
      <c r="E312">
        <v>2879800</v>
      </c>
      <c r="F312">
        <v>48</v>
      </c>
      <c r="G312">
        <v>13.06</v>
      </c>
      <c r="H312">
        <v>1405793.61</v>
      </c>
      <c r="I312">
        <v>0</v>
      </c>
      <c r="J312">
        <v>0</v>
      </c>
      <c r="K312">
        <v>0</v>
      </c>
      <c r="L312">
        <v>1</v>
      </c>
      <c r="M312">
        <v>142117484.08000001</v>
      </c>
      <c r="N312" s="1">
        <v>45596</v>
      </c>
      <c r="O312" t="s">
        <v>32</v>
      </c>
      <c r="P312" t="s">
        <v>33</v>
      </c>
      <c r="Q312" s="1">
        <v>44851</v>
      </c>
      <c r="R312" t="s">
        <v>61</v>
      </c>
      <c r="S312" t="s">
        <v>210</v>
      </c>
      <c r="T312">
        <v>2022</v>
      </c>
      <c r="U312">
        <v>776</v>
      </c>
      <c r="V312">
        <v>729</v>
      </c>
      <c r="W312" t="s">
        <v>63</v>
      </c>
      <c r="X312">
        <v>1413000</v>
      </c>
      <c r="Y312">
        <v>0.65680000000000005</v>
      </c>
      <c r="Z312">
        <v>36</v>
      </c>
      <c r="AA312" t="s">
        <v>126</v>
      </c>
      <c r="AB312" t="s">
        <v>38</v>
      </c>
      <c r="AC312" t="s">
        <v>54</v>
      </c>
      <c r="AD312">
        <v>77343.61</v>
      </c>
      <c r="AE312" t="b">
        <v>0</v>
      </c>
      <c r="AF312">
        <v>2267780.81</v>
      </c>
    </row>
    <row r="313" spans="1:32" x14ac:dyDescent="0.3">
      <c r="A313" t="s">
        <v>749</v>
      </c>
      <c r="B313" t="s">
        <v>750</v>
      </c>
      <c r="C313" t="s">
        <v>42</v>
      </c>
      <c r="D313" t="s">
        <v>31</v>
      </c>
      <c r="E313">
        <v>738400</v>
      </c>
      <c r="F313">
        <v>60</v>
      </c>
      <c r="G313">
        <v>13.45</v>
      </c>
      <c r="H313">
        <v>589606.61</v>
      </c>
      <c r="I313">
        <v>0</v>
      </c>
      <c r="J313">
        <v>0</v>
      </c>
      <c r="K313">
        <v>0</v>
      </c>
      <c r="L313">
        <v>1</v>
      </c>
      <c r="M313">
        <v>142117484.08000001</v>
      </c>
      <c r="N313" s="1">
        <v>45596</v>
      </c>
      <c r="O313" t="s">
        <v>32</v>
      </c>
      <c r="P313" t="s">
        <v>50</v>
      </c>
      <c r="Q313" s="1">
        <v>45196</v>
      </c>
      <c r="R313" t="s">
        <v>61</v>
      </c>
      <c r="S313" t="s">
        <v>210</v>
      </c>
      <c r="T313">
        <v>2023</v>
      </c>
      <c r="U313">
        <v>776</v>
      </c>
      <c r="V313">
        <v>760</v>
      </c>
      <c r="W313" t="s">
        <v>70</v>
      </c>
      <c r="X313">
        <v>4177000</v>
      </c>
      <c r="Y313">
        <v>4.8800000000000003E-2</v>
      </c>
      <c r="Z313">
        <v>36</v>
      </c>
      <c r="AA313" t="s">
        <v>233</v>
      </c>
      <c r="AB313" t="s">
        <v>38</v>
      </c>
      <c r="AC313" t="s">
        <v>39</v>
      </c>
      <c r="AD313">
        <v>16971.46</v>
      </c>
      <c r="AE313" t="b">
        <v>0</v>
      </c>
      <c r="AF313">
        <v>770732.53</v>
      </c>
    </row>
    <row r="314" spans="1:32" x14ac:dyDescent="0.3">
      <c r="A314" t="s">
        <v>751</v>
      </c>
      <c r="B314" t="s">
        <v>752</v>
      </c>
      <c r="C314" t="s">
        <v>98</v>
      </c>
      <c r="D314" t="s">
        <v>31</v>
      </c>
      <c r="E314">
        <v>669300</v>
      </c>
      <c r="F314">
        <v>36</v>
      </c>
      <c r="G314">
        <v>12.99</v>
      </c>
      <c r="H314">
        <v>0</v>
      </c>
      <c r="I314">
        <v>41</v>
      </c>
      <c r="J314">
        <v>0</v>
      </c>
      <c r="K314">
        <v>4090.38</v>
      </c>
      <c r="L314">
        <v>2</v>
      </c>
      <c r="M314">
        <v>142117484.08000001</v>
      </c>
      <c r="N314" s="1">
        <v>45596</v>
      </c>
      <c r="O314" t="s">
        <v>116</v>
      </c>
      <c r="P314" t="s">
        <v>50</v>
      </c>
      <c r="Q314" s="1">
        <v>44251</v>
      </c>
      <c r="R314" t="s">
        <v>51</v>
      </c>
      <c r="S314" t="s">
        <v>79</v>
      </c>
      <c r="T314">
        <v>2021</v>
      </c>
      <c r="U314">
        <v>777</v>
      </c>
      <c r="V314">
        <v>803</v>
      </c>
      <c r="W314" t="s">
        <v>70</v>
      </c>
      <c r="X314">
        <v>830000</v>
      </c>
      <c r="Y314">
        <v>0.32600000000000001</v>
      </c>
      <c r="Z314">
        <v>56</v>
      </c>
      <c r="AA314" t="s">
        <v>197</v>
      </c>
      <c r="AB314" t="s">
        <v>38</v>
      </c>
      <c r="AC314" t="s">
        <v>81</v>
      </c>
      <c r="AD314">
        <v>22548.14</v>
      </c>
      <c r="AE314" t="b">
        <v>0</v>
      </c>
      <c r="AF314">
        <v>451471.39</v>
      </c>
    </row>
    <row r="315" spans="1:32" x14ac:dyDescent="0.3">
      <c r="A315" t="s">
        <v>753</v>
      </c>
      <c r="B315" t="s">
        <v>754</v>
      </c>
      <c r="C315" t="s">
        <v>98</v>
      </c>
      <c r="D315" t="s">
        <v>31</v>
      </c>
      <c r="E315">
        <v>1632400</v>
      </c>
      <c r="F315">
        <v>60</v>
      </c>
      <c r="G315">
        <v>10.49</v>
      </c>
      <c r="H315">
        <v>614809</v>
      </c>
      <c r="I315">
        <v>29</v>
      </c>
      <c r="J315">
        <v>0</v>
      </c>
      <c r="K315">
        <v>0</v>
      </c>
      <c r="L315">
        <v>1</v>
      </c>
      <c r="M315">
        <v>142117484.08000001</v>
      </c>
      <c r="N315" s="1">
        <v>45596</v>
      </c>
      <c r="O315" t="s">
        <v>139</v>
      </c>
      <c r="P315" t="s">
        <v>44</v>
      </c>
      <c r="Q315" s="1">
        <v>44420</v>
      </c>
      <c r="R315" t="s">
        <v>45</v>
      </c>
      <c r="S315" t="s">
        <v>46</v>
      </c>
      <c r="T315">
        <v>2021</v>
      </c>
      <c r="U315">
        <v>777</v>
      </c>
      <c r="V315">
        <v>793</v>
      </c>
      <c r="W315" t="s">
        <v>36</v>
      </c>
      <c r="X315">
        <v>3303000</v>
      </c>
      <c r="Y315">
        <v>0.12740000000000001</v>
      </c>
      <c r="Z315">
        <v>58</v>
      </c>
      <c r="AA315" t="s">
        <v>37</v>
      </c>
      <c r="AB315" t="s">
        <v>38</v>
      </c>
      <c r="AC315" t="s">
        <v>39</v>
      </c>
      <c r="AD315">
        <v>35078.559999999998</v>
      </c>
      <c r="AE315" t="b">
        <v>1</v>
      </c>
      <c r="AF315">
        <v>975191.75</v>
      </c>
    </row>
    <row r="316" spans="1:32" x14ac:dyDescent="0.3">
      <c r="A316" t="s">
        <v>755</v>
      </c>
      <c r="B316" t="s">
        <v>756</v>
      </c>
      <c r="C316" t="s">
        <v>42</v>
      </c>
      <c r="D316" t="s">
        <v>31</v>
      </c>
      <c r="E316">
        <v>514300</v>
      </c>
      <c r="F316">
        <v>36</v>
      </c>
      <c r="G316">
        <v>13.6</v>
      </c>
      <c r="H316">
        <v>473909.33</v>
      </c>
      <c r="I316">
        <v>0</v>
      </c>
      <c r="J316">
        <v>0</v>
      </c>
      <c r="K316">
        <v>0</v>
      </c>
      <c r="L316">
        <v>1</v>
      </c>
      <c r="M316">
        <v>142117484.08000001</v>
      </c>
      <c r="N316" s="1">
        <v>45596</v>
      </c>
      <c r="O316" t="s">
        <v>32</v>
      </c>
      <c r="P316" t="s">
        <v>33</v>
      </c>
      <c r="Q316" s="1">
        <v>45447</v>
      </c>
      <c r="R316" t="s">
        <v>45</v>
      </c>
      <c r="S316" t="s">
        <v>46</v>
      </c>
      <c r="T316">
        <v>2024</v>
      </c>
      <c r="U316">
        <v>777</v>
      </c>
      <c r="V316">
        <v>739</v>
      </c>
      <c r="W316" t="s">
        <v>70</v>
      </c>
      <c r="X316">
        <v>3881000</v>
      </c>
      <c r="Y316">
        <v>5.3999999999999999E-2</v>
      </c>
      <c r="Z316">
        <v>40</v>
      </c>
      <c r="AA316" t="s">
        <v>71</v>
      </c>
      <c r="AB316" t="s">
        <v>38</v>
      </c>
      <c r="AC316" t="s">
        <v>39</v>
      </c>
      <c r="AD316">
        <v>17477.8</v>
      </c>
      <c r="AE316" t="b">
        <v>0</v>
      </c>
      <c r="AF316">
        <v>691705.75</v>
      </c>
    </row>
    <row r="317" spans="1:32" x14ac:dyDescent="0.3">
      <c r="A317" t="s">
        <v>757</v>
      </c>
      <c r="B317" t="s">
        <v>758</v>
      </c>
      <c r="C317" t="s">
        <v>67</v>
      </c>
      <c r="D317" t="s">
        <v>31</v>
      </c>
      <c r="E317">
        <v>986300</v>
      </c>
      <c r="F317">
        <v>84</v>
      </c>
      <c r="G317">
        <v>9.4499999999999993</v>
      </c>
      <c r="H317">
        <v>619832.64</v>
      </c>
      <c r="I317">
        <v>0</v>
      </c>
      <c r="J317">
        <v>0</v>
      </c>
      <c r="K317">
        <v>0</v>
      </c>
      <c r="L317">
        <v>1</v>
      </c>
      <c r="M317">
        <v>142117484.08000001</v>
      </c>
      <c r="N317" s="1">
        <v>45596</v>
      </c>
      <c r="O317" t="s">
        <v>32</v>
      </c>
      <c r="P317" t="s">
        <v>50</v>
      </c>
      <c r="Q317" s="1">
        <v>44738</v>
      </c>
      <c r="R317" t="s">
        <v>45</v>
      </c>
      <c r="S317" t="s">
        <v>107</v>
      </c>
      <c r="T317">
        <v>2022</v>
      </c>
      <c r="U317">
        <v>777</v>
      </c>
      <c r="V317">
        <v>777</v>
      </c>
      <c r="W317" t="s">
        <v>63</v>
      </c>
      <c r="X317">
        <v>2097000</v>
      </c>
      <c r="Y317">
        <v>9.2100000000000001E-2</v>
      </c>
      <c r="Z317">
        <v>58</v>
      </c>
      <c r="AA317" t="s">
        <v>126</v>
      </c>
      <c r="AB317" t="s">
        <v>38</v>
      </c>
      <c r="AC317" t="s">
        <v>54</v>
      </c>
      <c r="AD317">
        <v>16094.83</v>
      </c>
      <c r="AE317" t="b">
        <v>0</v>
      </c>
      <c r="AF317">
        <v>710901.43</v>
      </c>
    </row>
    <row r="318" spans="1:32" x14ac:dyDescent="0.3">
      <c r="A318" t="s">
        <v>759</v>
      </c>
      <c r="B318" t="s">
        <v>760</v>
      </c>
      <c r="C318" t="s">
        <v>67</v>
      </c>
      <c r="D318" t="s">
        <v>31</v>
      </c>
      <c r="E318">
        <v>829700</v>
      </c>
      <c r="F318">
        <v>48</v>
      </c>
      <c r="G318">
        <v>13.69</v>
      </c>
      <c r="H318">
        <v>88252.54</v>
      </c>
      <c r="I318">
        <v>0</v>
      </c>
      <c r="J318">
        <v>0</v>
      </c>
      <c r="K318">
        <v>0</v>
      </c>
      <c r="L318">
        <v>1</v>
      </c>
      <c r="M318">
        <v>142117484.08000001</v>
      </c>
      <c r="N318" s="1">
        <v>45596</v>
      </c>
      <c r="O318" t="s">
        <v>32</v>
      </c>
      <c r="P318" t="s">
        <v>33</v>
      </c>
      <c r="Q318" s="1">
        <v>44273</v>
      </c>
      <c r="R318" t="s">
        <v>51</v>
      </c>
      <c r="S318" t="s">
        <v>79</v>
      </c>
      <c r="T318">
        <v>2021</v>
      </c>
      <c r="U318">
        <v>778</v>
      </c>
      <c r="V318">
        <v>794</v>
      </c>
      <c r="W318" t="s">
        <v>63</v>
      </c>
      <c r="X318">
        <v>4969000</v>
      </c>
      <c r="Y318">
        <v>5.4399999999999997E-2</v>
      </c>
      <c r="Z318">
        <v>34</v>
      </c>
      <c r="AA318" t="s">
        <v>108</v>
      </c>
      <c r="AB318" t="s">
        <v>38</v>
      </c>
      <c r="AC318" t="s">
        <v>54</v>
      </c>
      <c r="AD318">
        <v>22543.97</v>
      </c>
      <c r="AE318" t="b">
        <v>0</v>
      </c>
      <c r="AF318">
        <v>455248.14</v>
      </c>
    </row>
    <row r="319" spans="1:32" x14ac:dyDescent="0.3">
      <c r="A319" t="s">
        <v>761</v>
      </c>
      <c r="B319" t="s">
        <v>762</v>
      </c>
      <c r="C319" t="s">
        <v>98</v>
      </c>
      <c r="D319" t="s">
        <v>84</v>
      </c>
      <c r="E319">
        <v>852200</v>
      </c>
      <c r="F319">
        <v>36</v>
      </c>
      <c r="G319">
        <v>11.02</v>
      </c>
      <c r="H319">
        <v>303455.33</v>
      </c>
      <c r="I319">
        <v>38</v>
      </c>
      <c r="J319">
        <v>0</v>
      </c>
      <c r="K319">
        <v>0</v>
      </c>
      <c r="L319">
        <v>2</v>
      </c>
      <c r="M319">
        <v>142117484.08000001</v>
      </c>
      <c r="N319" s="1">
        <v>45596</v>
      </c>
      <c r="O319" t="s">
        <v>116</v>
      </c>
      <c r="P319" t="s">
        <v>74</v>
      </c>
      <c r="Q319" s="1">
        <v>44889</v>
      </c>
      <c r="R319" t="s">
        <v>99</v>
      </c>
      <c r="S319" t="s">
        <v>219</v>
      </c>
      <c r="T319">
        <v>2019</v>
      </c>
      <c r="U319">
        <v>778</v>
      </c>
      <c r="V319">
        <v>757</v>
      </c>
      <c r="W319" t="s">
        <v>36</v>
      </c>
      <c r="X319">
        <v>2944000</v>
      </c>
      <c r="Y319">
        <v>0.1138</v>
      </c>
      <c r="Z319">
        <v>37</v>
      </c>
      <c r="AA319" t="s">
        <v>53</v>
      </c>
      <c r="AB319" t="s">
        <v>38</v>
      </c>
      <c r="AC319" t="s">
        <v>39</v>
      </c>
      <c r="AD319">
        <v>27908.01</v>
      </c>
      <c r="AE319" t="b">
        <v>1</v>
      </c>
      <c r="AF319">
        <v>914030.98</v>
      </c>
    </row>
    <row r="320" spans="1:32" x14ac:dyDescent="0.3">
      <c r="A320" t="s">
        <v>763</v>
      </c>
      <c r="B320" t="s">
        <v>764</v>
      </c>
      <c r="C320" t="s">
        <v>42</v>
      </c>
      <c r="D320" t="s">
        <v>31</v>
      </c>
      <c r="E320">
        <v>961500</v>
      </c>
      <c r="F320">
        <v>36</v>
      </c>
      <c r="G320">
        <v>10.39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142117484.08000001</v>
      </c>
      <c r="N320" s="1">
        <v>45596</v>
      </c>
      <c r="O320" t="s">
        <v>32</v>
      </c>
      <c r="P320" t="s">
        <v>50</v>
      </c>
      <c r="Q320" s="1">
        <v>44317</v>
      </c>
      <c r="R320" t="s">
        <v>94</v>
      </c>
      <c r="S320" t="s">
        <v>95</v>
      </c>
      <c r="T320">
        <v>2021</v>
      </c>
      <c r="U320">
        <v>779</v>
      </c>
      <c r="V320">
        <v>787</v>
      </c>
      <c r="W320" t="s">
        <v>63</v>
      </c>
      <c r="X320">
        <v>343000</v>
      </c>
      <c r="Y320">
        <v>1.0915999999999999</v>
      </c>
      <c r="Z320">
        <v>29</v>
      </c>
      <c r="AA320" t="s">
        <v>104</v>
      </c>
      <c r="AB320" t="s">
        <v>38</v>
      </c>
      <c r="AC320" t="s">
        <v>81</v>
      </c>
      <c r="AD320">
        <v>31201.25</v>
      </c>
      <c r="AE320" t="b">
        <v>1</v>
      </c>
      <c r="AF320">
        <v>539688.02</v>
      </c>
    </row>
    <row r="321" spans="1:32" x14ac:dyDescent="0.3">
      <c r="A321" t="s">
        <v>765</v>
      </c>
      <c r="B321" t="s">
        <v>766</v>
      </c>
      <c r="C321" t="s">
        <v>103</v>
      </c>
      <c r="D321" t="s">
        <v>31</v>
      </c>
      <c r="E321">
        <v>2660900</v>
      </c>
      <c r="F321">
        <v>36</v>
      </c>
      <c r="G321">
        <v>9.11</v>
      </c>
      <c r="H321">
        <v>1769903.7</v>
      </c>
      <c r="I321">
        <v>0</v>
      </c>
      <c r="J321">
        <v>0</v>
      </c>
      <c r="K321">
        <v>238425.27</v>
      </c>
      <c r="L321">
        <v>1</v>
      </c>
      <c r="M321">
        <v>142117484.08000001</v>
      </c>
      <c r="N321" s="1">
        <v>45596</v>
      </c>
      <c r="O321" t="s">
        <v>32</v>
      </c>
      <c r="P321" t="s">
        <v>33</v>
      </c>
      <c r="Q321" s="1">
        <v>45243</v>
      </c>
      <c r="R321" t="s">
        <v>51</v>
      </c>
      <c r="S321" t="s">
        <v>79</v>
      </c>
      <c r="T321">
        <v>2023</v>
      </c>
      <c r="U321">
        <v>779</v>
      </c>
      <c r="V321">
        <v>782</v>
      </c>
      <c r="W321" t="s">
        <v>63</v>
      </c>
      <c r="X321">
        <v>2757000</v>
      </c>
      <c r="Y321">
        <v>0.36890000000000001</v>
      </c>
      <c r="Z321">
        <v>23</v>
      </c>
      <c r="AA321" t="s">
        <v>226</v>
      </c>
      <c r="AB321" t="s">
        <v>38</v>
      </c>
      <c r="AC321" t="s">
        <v>39</v>
      </c>
      <c r="AD321">
        <v>84752.2</v>
      </c>
      <c r="AE321" t="b">
        <v>0</v>
      </c>
      <c r="AF321">
        <v>3069798.65</v>
      </c>
    </row>
    <row r="322" spans="1:32" x14ac:dyDescent="0.3">
      <c r="A322" t="s">
        <v>767</v>
      </c>
      <c r="B322" t="s">
        <v>768</v>
      </c>
      <c r="C322" t="s">
        <v>30</v>
      </c>
      <c r="D322" t="s">
        <v>31</v>
      </c>
      <c r="E322">
        <v>1337800</v>
      </c>
      <c r="F322">
        <v>72</v>
      </c>
      <c r="G322">
        <v>9.67</v>
      </c>
      <c r="H322">
        <v>1119940.27</v>
      </c>
      <c r="I322">
        <v>144</v>
      </c>
      <c r="J322">
        <v>0</v>
      </c>
      <c r="K322">
        <v>0</v>
      </c>
      <c r="L322">
        <v>3</v>
      </c>
      <c r="M322">
        <v>142117484.08000001</v>
      </c>
      <c r="N322" s="1">
        <v>45596</v>
      </c>
      <c r="O322" t="s">
        <v>129</v>
      </c>
      <c r="P322" t="s">
        <v>44</v>
      </c>
      <c r="Q322" s="1">
        <v>45202</v>
      </c>
      <c r="R322" t="s">
        <v>85</v>
      </c>
      <c r="S322" t="s">
        <v>440</v>
      </c>
      <c r="T322">
        <v>2023</v>
      </c>
      <c r="U322">
        <v>780</v>
      </c>
      <c r="V322">
        <v>782</v>
      </c>
      <c r="W322" t="s">
        <v>63</v>
      </c>
      <c r="X322">
        <v>2978000</v>
      </c>
      <c r="Y322">
        <v>9.9000000000000005E-2</v>
      </c>
      <c r="Z322">
        <v>44</v>
      </c>
      <c r="AA322" t="s">
        <v>226</v>
      </c>
      <c r="AB322" t="s">
        <v>38</v>
      </c>
      <c r="AC322" t="s">
        <v>81</v>
      </c>
      <c r="AD322">
        <v>24561.82</v>
      </c>
      <c r="AE322" t="b">
        <v>0</v>
      </c>
      <c r="AF322">
        <v>1773287.81</v>
      </c>
    </row>
    <row r="323" spans="1:32" x14ac:dyDescent="0.3">
      <c r="A323" t="s">
        <v>769</v>
      </c>
      <c r="B323" t="s">
        <v>770</v>
      </c>
      <c r="C323" t="s">
        <v>30</v>
      </c>
      <c r="D323" t="s">
        <v>31</v>
      </c>
      <c r="E323">
        <v>516400</v>
      </c>
      <c r="F323">
        <v>72</v>
      </c>
      <c r="G323">
        <v>13.55</v>
      </c>
      <c r="H323">
        <v>400480.91</v>
      </c>
      <c r="I323">
        <v>0</v>
      </c>
      <c r="J323">
        <v>0</v>
      </c>
      <c r="K323">
        <v>0</v>
      </c>
      <c r="L323">
        <v>1</v>
      </c>
      <c r="M323">
        <v>142117484.08000001</v>
      </c>
      <c r="N323" s="1">
        <v>45596</v>
      </c>
      <c r="O323" t="s">
        <v>32</v>
      </c>
      <c r="P323" t="s">
        <v>74</v>
      </c>
      <c r="Q323" s="1">
        <v>45152</v>
      </c>
      <c r="R323" t="s">
        <v>99</v>
      </c>
      <c r="S323" t="s">
        <v>200</v>
      </c>
      <c r="T323">
        <v>2023</v>
      </c>
      <c r="U323">
        <v>781</v>
      </c>
      <c r="V323">
        <v>790</v>
      </c>
      <c r="W323" t="s">
        <v>36</v>
      </c>
      <c r="X323">
        <v>1301000</v>
      </c>
      <c r="Y323">
        <v>9.7000000000000003E-2</v>
      </c>
      <c r="Z323">
        <v>43</v>
      </c>
      <c r="AA323" t="s">
        <v>148</v>
      </c>
      <c r="AB323" t="s">
        <v>38</v>
      </c>
      <c r="AC323" t="s">
        <v>39</v>
      </c>
      <c r="AD323">
        <v>10516.77</v>
      </c>
      <c r="AE323" t="b">
        <v>0</v>
      </c>
      <c r="AF323">
        <v>640215</v>
      </c>
    </row>
    <row r="324" spans="1:32" x14ac:dyDescent="0.3">
      <c r="A324" t="s">
        <v>771</v>
      </c>
      <c r="B324" t="s">
        <v>772</v>
      </c>
      <c r="C324" t="s">
        <v>67</v>
      </c>
      <c r="D324" t="s">
        <v>84</v>
      </c>
      <c r="E324">
        <v>458200</v>
      </c>
      <c r="F324">
        <v>36</v>
      </c>
      <c r="G324">
        <v>12.15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142117484.08000001</v>
      </c>
      <c r="N324" s="1">
        <v>45596</v>
      </c>
      <c r="O324" t="s">
        <v>32</v>
      </c>
      <c r="P324" t="s">
        <v>50</v>
      </c>
      <c r="Q324" s="1">
        <v>44408</v>
      </c>
      <c r="R324" t="s">
        <v>171</v>
      </c>
      <c r="S324" t="s">
        <v>381</v>
      </c>
      <c r="T324">
        <v>2018</v>
      </c>
      <c r="U324">
        <v>781</v>
      </c>
      <c r="V324">
        <v>793</v>
      </c>
      <c r="W324" t="s">
        <v>70</v>
      </c>
      <c r="X324">
        <v>3001000</v>
      </c>
      <c r="Y324">
        <v>6.0999999999999999E-2</v>
      </c>
      <c r="Z324">
        <v>46</v>
      </c>
      <c r="AA324" t="s">
        <v>37</v>
      </c>
      <c r="AB324" t="s">
        <v>38</v>
      </c>
      <c r="AC324" t="s">
        <v>81</v>
      </c>
      <c r="AD324">
        <v>15251.64</v>
      </c>
      <c r="AE324" t="b">
        <v>1</v>
      </c>
      <c r="AF324">
        <v>286273.62</v>
      </c>
    </row>
    <row r="325" spans="1:32" x14ac:dyDescent="0.3">
      <c r="A325" t="s">
        <v>773</v>
      </c>
      <c r="B325" t="s">
        <v>774</v>
      </c>
      <c r="C325" t="s">
        <v>98</v>
      </c>
      <c r="D325" t="s">
        <v>31</v>
      </c>
      <c r="E325">
        <v>897900</v>
      </c>
      <c r="F325">
        <v>36</v>
      </c>
      <c r="G325">
        <v>10.84</v>
      </c>
      <c r="H325">
        <v>555470.18000000005</v>
      </c>
      <c r="I325">
        <v>0</v>
      </c>
      <c r="J325">
        <v>0</v>
      </c>
      <c r="K325">
        <v>0</v>
      </c>
      <c r="L325">
        <v>1</v>
      </c>
      <c r="M325">
        <v>142117484.08000001</v>
      </c>
      <c r="N325" s="1">
        <v>45596</v>
      </c>
      <c r="O325" t="s">
        <v>32</v>
      </c>
      <c r="P325" t="s">
        <v>44</v>
      </c>
      <c r="Q325" s="1">
        <v>45158</v>
      </c>
      <c r="R325" t="s">
        <v>51</v>
      </c>
      <c r="S325" t="s">
        <v>79</v>
      </c>
      <c r="T325">
        <v>2023</v>
      </c>
      <c r="U325">
        <v>781</v>
      </c>
      <c r="V325">
        <v>747</v>
      </c>
      <c r="W325" t="s">
        <v>63</v>
      </c>
      <c r="X325">
        <v>891000</v>
      </c>
      <c r="Y325">
        <v>0.39500000000000002</v>
      </c>
      <c r="Z325">
        <v>59</v>
      </c>
      <c r="AA325" t="s">
        <v>58</v>
      </c>
      <c r="AB325" t="s">
        <v>38</v>
      </c>
      <c r="AC325" t="s">
        <v>81</v>
      </c>
      <c r="AD325">
        <v>29328.11</v>
      </c>
      <c r="AE325" t="b">
        <v>0</v>
      </c>
      <c r="AF325">
        <v>964521.42</v>
      </c>
    </row>
    <row r="326" spans="1:32" x14ac:dyDescent="0.3">
      <c r="A326" t="s">
        <v>775</v>
      </c>
      <c r="B326" t="s">
        <v>776</v>
      </c>
      <c r="C326" t="s">
        <v>67</v>
      </c>
      <c r="D326" t="s">
        <v>31</v>
      </c>
      <c r="E326">
        <v>1016300</v>
      </c>
      <c r="F326">
        <v>48</v>
      </c>
      <c r="G326">
        <v>11.58</v>
      </c>
      <c r="H326">
        <v>214795</v>
      </c>
      <c r="I326">
        <v>248</v>
      </c>
      <c r="J326">
        <v>0</v>
      </c>
      <c r="K326">
        <v>0</v>
      </c>
      <c r="L326">
        <v>3</v>
      </c>
      <c r="M326">
        <v>142117484.08000001</v>
      </c>
      <c r="N326" s="1">
        <v>45596</v>
      </c>
      <c r="O326" t="s">
        <v>260</v>
      </c>
      <c r="P326" t="s">
        <v>33</v>
      </c>
      <c r="Q326" s="1">
        <v>44460</v>
      </c>
      <c r="R326" t="s">
        <v>89</v>
      </c>
      <c r="S326" t="s">
        <v>358</v>
      </c>
      <c r="T326">
        <v>2021</v>
      </c>
      <c r="U326">
        <v>782</v>
      </c>
      <c r="V326">
        <v>783</v>
      </c>
      <c r="W326" t="s">
        <v>36</v>
      </c>
      <c r="X326">
        <v>3880000</v>
      </c>
      <c r="Y326">
        <v>8.2100000000000006E-2</v>
      </c>
      <c r="Z326">
        <v>41</v>
      </c>
      <c r="AA326" t="s">
        <v>80</v>
      </c>
      <c r="AB326" t="s">
        <v>38</v>
      </c>
      <c r="AC326" t="s">
        <v>54</v>
      </c>
      <c r="AD326">
        <v>26553.98</v>
      </c>
      <c r="AE326" t="b">
        <v>0</v>
      </c>
      <c r="AF326">
        <v>794366.29</v>
      </c>
    </row>
    <row r="327" spans="1:32" x14ac:dyDescent="0.3">
      <c r="A327" t="s">
        <v>777</v>
      </c>
      <c r="B327" t="s">
        <v>778</v>
      </c>
      <c r="C327" t="s">
        <v>30</v>
      </c>
      <c r="D327" t="s">
        <v>31</v>
      </c>
      <c r="E327">
        <v>565900</v>
      </c>
      <c r="F327">
        <v>36</v>
      </c>
      <c r="G327">
        <v>13.5</v>
      </c>
      <c r="H327">
        <v>76435.09</v>
      </c>
      <c r="I327">
        <v>0</v>
      </c>
      <c r="J327">
        <v>0</v>
      </c>
      <c r="K327">
        <v>0</v>
      </c>
      <c r="L327">
        <v>1</v>
      </c>
      <c r="M327">
        <v>142117484.08000001</v>
      </c>
      <c r="N327" s="1">
        <v>45596</v>
      </c>
      <c r="O327" t="s">
        <v>32</v>
      </c>
      <c r="P327" t="s">
        <v>74</v>
      </c>
      <c r="Q327" s="1">
        <v>44645</v>
      </c>
      <c r="R327" t="s">
        <v>34</v>
      </c>
      <c r="S327" t="s">
        <v>123</v>
      </c>
      <c r="T327">
        <v>2022</v>
      </c>
      <c r="U327">
        <v>782</v>
      </c>
      <c r="V327">
        <v>806</v>
      </c>
      <c r="W327" t="s">
        <v>63</v>
      </c>
      <c r="X327">
        <v>2238000</v>
      </c>
      <c r="Y327">
        <v>0.10299999999999999</v>
      </c>
      <c r="Z327">
        <v>50</v>
      </c>
      <c r="AA327" t="s">
        <v>37</v>
      </c>
      <c r="AB327" t="s">
        <v>38</v>
      </c>
      <c r="AC327" t="s">
        <v>39</v>
      </c>
      <c r="AD327">
        <v>19203.98</v>
      </c>
      <c r="AE327" t="b">
        <v>0</v>
      </c>
      <c r="AF327">
        <v>512885.42</v>
      </c>
    </row>
    <row r="328" spans="1:32" x14ac:dyDescent="0.3">
      <c r="A328" t="s">
        <v>779</v>
      </c>
      <c r="B328" t="s">
        <v>780</v>
      </c>
      <c r="C328" t="s">
        <v>30</v>
      </c>
      <c r="D328" t="s">
        <v>43</v>
      </c>
      <c r="E328">
        <v>477500</v>
      </c>
      <c r="F328">
        <v>84</v>
      </c>
      <c r="G328">
        <v>13.87</v>
      </c>
      <c r="H328">
        <v>395297.32</v>
      </c>
      <c r="I328">
        <v>0</v>
      </c>
      <c r="J328">
        <v>0</v>
      </c>
      <c r="K328">
        <v>0</v>
      </c>
      <c r="L328">
        <v>1</v>
      </c>
      <c r="M328">
        <v>142117484.08000001</v>
      </c>
      <c r="N328" s="1">
        <v>45596</v>
      </c>
      <c r="O328" t="s">
        <v>32</v>
      </c>
      <c r="P328" t="s">
        <v>50</v>
      </c>
      <c r="Q328" s="1">
        <v>45112</v>
      </c>
      <c r="R328" t="s">
        <v>45</v>
      </c>
      <c r="S328" t="s">
        <v>107</v>
      </c>
      <c r="T328">
        <v>2018</v>
      </c>
      <c r="U328">
        <v>782</v>
      </c>
      <c r="V328">
        <v>763</v>
      </c>
      <c r="W328" t="s">
        <v>36</v>
      </c>
      <c r="X328">
        <v>4785000</v>
      </c>
      <c r="Y328">
        <v>2.24E-2</v>
      </c>
      <c r="Z328">
        <v>54</v>
      </c>
      <c r="AA328" t="s">
        <v>58</v>
      </c>
      <c r="AB328" t="s">
        <v>38</v>
      </c>
      <c r="AC328" t="s">
        <v>54</v>
      </c>
      <c r="AD328">
        <v>8914.1</v>
      </c>
      <c r="AE328" t="b">
        <v>0</v>
      </c>
      <c r="AF328">
        <v>548977.24</v>
      </c>
    </row>
    <row r="329" spans="1:32" x14ac:dyDescent="0.3">
      <c r="A329" t="s">
        <v>781</v>
      </c>
      <c r="B329" t="s">
        <v>782</v>
      </c>
      <c r="C329" t="s">
        <v>98</v>
      </c>
      <c r="D329" t="s">
        <v>31</v>
      </c>
      <c r="E329">
        <v>982100</v>
      </c>
      <c r="F329">
        <v>72</v>
      </c>
      <c r="G329">
        <v>12.22</v>
      </c>
      <c r="H329">
        <v>973254.46</v>
      </c>
      <c r="I329">
        <v>0</v>
      </c>
      <c r="J329">
        <v>0</v>
      </c>
      <c r="K329">
        <v>47163.35</v>
      </c>
      <c r="L329">
        <v>1</v>
      </c>
      <c r="M329">
        <v>142117484.08000001</v>
      </c>
      <c r="N329" s="1">
        <v>45596</v>
      </c>
      <c r="O329" t="s">
        <v>32</v>
      </c>
      <c r="P329" t="s">
        <v>50</v>
      </c>
      <c r="Q329" s="1">
        <v>45501</v>
      </c>
      <c r="R329" t="s">
        <v>61</v>
      </c>
      <c r="S329" t="s">
        <v>210</v>
      </c>
      <c r="T329">
        <v>2024</v>
      </c>
      <c r="U329">
        <v>783</v>
      </c>
      <c r="V329">
        <v>746</v>
      </c>
      <c r="W329" t="s">
        <v>70</v>
      </c>
      <c r="X329">
        <v>4099000</v>
      </c>
      <c r="Y329">
        <v>5.6500000000000002E-2</v>
      </c>
      <c r="Z329">
        <v>40</v>
      </c>
      <c r="AA329" t="s">
        <v>76</v>
      </c>
      <c r="AB329" t="s">
        <v>38</v>
      </c>
      <c r="AC329" t="s">
        <v>39</v>
      </c>
      <c r="AD329">
        <v>19312.79</v>
      </c>
      <c r="AE329" t="b">
        <v>0</v>
      </c>
      <c r="AF329">
        <v>1241185.25</v>
      </c>
    </row>
    <row r="330" spans="1:32" x14ac:dyDescent="0.3">
      <c r="A330" t="s">
        <v>783</v>
      </c>
      <c r="B330" t="s">
        <v>784</v>
      </c>
      <c r="C330" t="s">
        <v>98</v>
      </c>
      <c r="D330" t="s">
        <v>31</v>
      </c>
      <c r="E330">
        <v>733800</v>
      </c>
      <c r="F330">
        <v>48</v>
      </c>
      <c r="G330">
        <v>10.1</v>
      </c>
      <c r="H330">
        <v>45465.99</v>
      </c>
      <c r="I330">
        <v>105</v>
      </c>
      <c r="J330">
        <v>0</v>
      </c>
      <c r="K330">
        <v>0</v>
      </c>
      <c r="L330">
        <v>3</v>
      </c>
      <c r="M330">
        <v>142117484.08000001</v>
      </c>
      <c r="N330" s="1">
        <v>45596</v>
      </c>
      <c r="O330" t="s">
        <v>111</v>
      </c>
      <c r="P330" t="s">
        <v>44</v>
      </c>
      <c r="Q330" s="1">
        <v>44207</v>
      </c>
      <c r="R330" t="s">
        <v>99</v>
      </c>
      <c r="S330" t="s">
        <v>157</v>
      </c>
      <c r="T330">
        <v>2021</v>
      </c>
      <c r="U330">
        <v>783</v>
      </c>
      <c r="V330">
        <v>769</v>
      </c>
      <c r="W330" t="s">
        <v>70</v>
      </c>
      <c r="X330">
        <v>3186000</v>
      </c>
      <c r="Y330">
        <v>7.0199999999999999E-2</v>
      </c>
      <c r="Z330">
        <v>49</v>
      </c>
      <c r="AA330" t="s">
        <v>53</v>
      </c>
      <c r="AB330" t="s">
        <v>38</v>
      </c>
      <c r="AC330" t="s">
        <v>54</v>
      </c>
      <c r="AD330">
        <v>18646.32</v>
      </c>
      <c r="AE330" t="b">
        <v>0</v>
      </c>
      <c r="AF330">
        <v>572675.56000000006</v>
      </c>
    </row>
    <row r="331" spans="1:32" x14ac:dyDescent="0.3">
      <c r="A331" t="s">
        <v>785</v>
      </c>
      <c r="B331" t="s">
        <v>786</v>
      </c>
      <c r="C331" t="s">
        <v>30</v>
      </c>
      <c r="D331" t="s">
        <v>31</v>
      </c>
      <c r="E331">
        <v>1063900</v>
      </c>
      <c r="F331">
        <v>84</v>
      </c>
      <c r="G331">
        <v>12.24</v>
      </c>
      <c r="H331">
        <v>827225.79</v>
      </c>
      <c r="I331">
        <v>79</v>
      </c>
      <c r="J331">
        <v>0</v>
      </c>
      <c r="K331">
        <v>0</v>
      </c>
      <c r="L331">
        <v>2</v>
      </c>
      <c r="M331">
        <v>142117484.08000001</v>
      </c>
      <c r="N331" s="1">
        <v>45596</v>
      </c>
      <c r="O331" t="s">
        <v>122</v>
      </c>
      <c r="P331" t="s">
        <v>74</v>
      </c>
      <c r="Q331" s="1">
        <v>45187</v>
      </c>
      <c r="R331" t="s">
        <v>94</v>
      </c>
      <c r="S331" t="s">
        <v>117</v>
      </c>
      <c r="T331">
        <v>2023</v>
      </c>
      <c r="U331">
        <v>783</v>
      </c>
      <c r="V331">
        <v>747</v>
      </c>
      <c r="W331" t="s">
        <v>70</v>
      </c>
      <c r="X331">
        <v>2122000</v>
      </c>
      <c r="Y331">
        <v>0.107</v>
      </c>
      <c r="Z331">
        <v>25</v>
      </c>
      <c r="AA331" t="s">
        <v>47</v>
      </c>
      <c r="AB331" t="s">
        <v>38</v>
      </c>
      <c r="AC331" t="s">
        <v>39</v>
      </c>
      <c r="AD331">
        <v>18917.57</v>
      </c>
      <c r="AE331" t="b">
        <v>0</v>
      </c>
      <c r="AF331">
        <v>1316118.55</v>
      </c>
    </row>
    <row r="332" spans="1:32" x14ac:dyDescent="0.3">
      <c r="A332" t="s">
        <v>787</v>
      </c>
      <c r="B332" t="s">
        <v>788</v>
      </c>
      <c r="C332" t="s">
        <v>98</v>
      </c>
      <c r="D332" t="s">
        <v>31</v>
      </c>
      <c r="E332">
        <v>1321100</v>
      </c>
      <c r="F332">
        <v>72</v>
      </c>
      <c r="G332">
        <v>10.61</v>
      </c>
      <c r="H332">
        <v>512067.07</v>
      </c>
      <c r="I332">
        <v>0</v>
      </c>
      <c r="J332">
        <v>0</v>
      </c>
      <c r="K332">
        <v>0</v>
      </c>
      <c r="L332">
        <v>1</v>
      </c>
      <c r="M332">
        <v>142117484.08000001</v>
      </c>
      <c r="N332" s="1">
        <v>45596</v>
      </c>
      <c r="O332" t="s">
        <v>32</v>
      </c>
      <c r="P332" t="s">
        <v>44</v>
      </c>
      <c r="Q332" s="1">
        <v>44243</v>
      </c>
      <c r="R332" t="s">
        <v>51</v>
      </c>
      <c r="S332" t="s">
        <v>52</v>
      </c>
      <c r="T332">
        <v>2021</v>
      </c>
      <c r="U332">
        <v>783</v>
      </c>
      <c r="V332">
        <v>775</v>
      </c>
      <c r="W332" t="s">
        <v>57</v>
      </c>
      <c r="X332">
        <v>2485000</v>
      </c>
      <c r="Y332">
        <v>0.1202</v>
      </c>
      <c r="Z332">
        <v>37</v>
      </c>
      <c r="AA332" t="s">
        <v>148</v>
      </c>
      <c r="AB332" t="s">
        <v>38</v>
      </c>
      <c r="AC332" t="s">
        <v>81</v>
      </c>
      <c r="AD332">
        <v>24882.82</v>
      </c>
      <c r="AE332" t="b">
        <v>0</v>
      </c>
      <c r="AF332">
        <v>756935.41</v>
      </c>
    </row>
    <row r="333" spans="1:32" x14ac:dyDescent="0.3">
      <c r="A333" t="s">
        <v>789</v>
      </c>
      <c r="B333" t="s">
        <v>790</v>
      </c>
      <c r="C333" t="s">
        <v>42</v>
      </c>
      <c r="D333" t="s">
        <v>31</v>
      </c>
      <c r="E333">
        <v>478200</v>
      </c>
      <c r="F333">
        <v>48</v>
      </c>
      <c r="G333">
        <v>11.32</v>
      </c>
      <c r="H333">
        <v>410971.27</v>
      </c>
      <c r="I333">
        <v>488</v>
      </c>
      <c r="J333">
        <v>0</v>
      </c>
      <c r="K333">
        <v>0</v>
      </c>
      <c r="L333">
        <v>3</v>
      </c>
      <c r="M333">
        <v>142117484.08000001</v>
      </c>
      <c r="N333" s="1">
        <v>45596</v>
      </c>
      <c r="O333" t="s">
        <v>129</v>
      </c>
      <c r="P333" t="s">
        <v>33</v>
      </c>
      <c r="Q333" s="1">
        <v>45455</v>
      </c>
      <c r="R333" t="s">
        <v>51</v>
      </c>
      <c r="S333" t="s">
        <v>79</v>
      </c>
      <c r="T333">
        <v>2024</v>
      </c>
      <c r="U333">
        <v>783</v>
      </c>
      <c r="V333">
        <v>801</v>
      </c>
      <c r="W333" t="s">
        <v>57</v>
      </c>
      <c r="X333">
        <v>1289000</v>
      </c>
      <c r="Y333">
        <v>0.1158</v>
      </c>
      <c r="Z333">
        <v>27</v>
      </c>
      <c r="AA333" t="s">
        <v>113</v>
      </c>
      <c r="AB333" t="s">
        <v>38</v>
      </c>
      <c r="AC333" t="s">
        <v>39</v>
      </c>
      <c r="AD333">
        <v>12433.77</v>
      </c>
      <c r="AE333" t="b">
        <v>0</v>
      </c>
      <c r="AF333">
        <v>625910.97</v>
      </c>
    </row>
    <row r="334" spans="1:32" x14ac:dyDescent="0.3">
      <c r="A334" t="s">
        <v>791</v>
      </c>
      <c r="B334" t="s">
        <v>792</v>
      </c>
      <c r="C334" t="s">
        <v>30</v>
      </c>
      <c r="D334" t="s">
        <v>31</v>
      </c>
      <c r="E334">
        <v>1564900</v>
      </c>
      <c r="F334">
        <v>72</v>
      </c>
      <c r="G334">
        <v>11.29</v>
      </c>
      <c r="H334">
        <v>1006680.08</v>
      </c>
      <c r="I334">
        <v>64</v>
      </c>
      <c r="J334">
        <v>0</v>
      </c>
      <c r="K334">
        <v>0</v>
      </c>
      <c r="L334">
        <v>2</v>
      </c>
      <c r="M334">
        <v>142117484.08000001</v>
      </c>
      <c r="N334" s="1">
        <v>45596</v>
      </c>
      <c r="O334" t="s">
        <v>122</v>
      </c>
      <c r="P334" t="s">
        <v>50</v>
      </c>
      <c r="Q334" s="1">
        <v>44917</v>
      </c>
      <c r="R334" t="s">
        <v>45</v>
      </c>
      <c r="S334" t="s">
        <v>46</v>
      </c>
      <c r="T334">
        <v>2022</v>
      </c>
      <c r="U334">
        <v>784</v>
      </c>
      <c r="V334">
        <v>795</v>
      </c>
      <c r="W334" t="s">
        <v>57</v>
      </c>
      <c r="X334">
        <v>969000</v>
      </c>
      <c r="Y334">
        <v>0.37180000000000002</v>
      </c>
      <c r="Z334">
        <v>28</v>
      </c>
      <c r="AA334" t="s">
        <v>47</v>
      </c>
      <c r="AB334" t="s">
        <v>38</v>
      </c>
      <c r="AC334" t="s">
        <v>39</v>
      </c>
      <c r="AD334">
        <v>30019.39</v>
      </c>
      <c r="AE334" t="b">
        <v>0</v>
      </c>
      <c r="AF334">
        <v>1260848.9099999999</v>
      </c>
    </row>
    <row r="335" spans="1:32" x14ac:dyDescent="0.3">
      <c r="A335" t="s">
        <v>793</v>
      </c>
      <c r="B335" t="s">
        <v>794</v>
      </c>
      <c r="C335" t="s">
        <v>30</v>
      </c>
      <c r="D335" t="s">
        <v>31</v>
      </c>
      <c r="E335">
        <v>1466000</v>
      </c>
      <c r="F335">
        <v>48</v>
      </c>
      <c r="G335">
        <v>7.99</v>
      </c>
      <c r="H335">
        <v>417263.6</v>
      </c>
      <c r="I335">
        <v>0</v>
      </c>
      <c r="J335">
        <v>0</v>
      </c>
      <c r="K335">
        <v>0</v>
      </c>
      <c r="L335">
        <v>1</v>
      </c>
      <c r="M335">
        <v>142117484.08000001</v>
      </c>
      <c r="N335" s="1">
        <v>45596</v>
      </c>
      <c r="O335" t="s">
        <v>32</v>
      </c>
      <c r="P335" t="s">
        <v>74</v>
      </c>
      <c r="Q335" s="1">
        <v>44566</v>
      </c>
      <c r="R335" t="s">
        <v>51</v>
      </c>
      <c r="S335" t="s">
        <v>79</v>
      </c>
      <c r="T335">
        <v>2022</v>
      </c>
      <c r="U335">
        <v>784</v>
      </c>
      <c r="V335">
        <v>751</v>
      </c>
      <c r="W335" t="s">
        <v>70</v>
      </c>
      <c r="X335">
        <v>771000</v>
      </c>
      <c r="Y335">
        <v>0.55689999999999995</v>
      </c>
      <c r="Z335">
        <v>53</v>
      </c>
      <c r="AA335" t="s">
        <v>197</v>
      </c>
      <c r="AB335" t="s">
        <v>38</v>
      </c>
      <c r="AC335" t="s">
        <v>39</v>
      </c>
      <c r="AD335">
        <v>35782.46</v>
      </c>
      <c r="AE335" t="b">
        <v>0</v>
      </c>
      <c r="AF335">
        <v>1127685.3999999999</v>
      </c>
    </row>
    <row r="336" spans="1:32" x14ac:dyDescent="0.3">
      <c r="A336" t="s">
        <v>795</v>
      </c>
      <c r="B336" t="s">
        <v>796</v>
      </c>
      <c r="C336" t="s">
        <v>30</v>
      </c>
      <c r="D336" t="s">
        <v>31</v>
      </c>
      <c r="E336">
        <v>643200</v>
      </c>
      <c r="F336">
        <v>84</v>
      </c>
      <c r="G336">
        <v>13.99</v>
      </c>
      <c r="H336">
        <v>385897.06</v>
      </c>
      <c r="I336">
        <v>74</v>
      </c>
      <c r="J336">
        <v>0</v>
      </c>
      <c r="K336">
        <v>0</v>
      </c>
      <c r="L336">
        <v>2</v>
      </c>
      <c r="M336">
        <v>142117484.08000001</v>
      </c>
      <c r="N336" s="1">
        <v>45596</v>
      </c>
      <c r="O336" t="s">
        <v>122</v>
      </c>
      <c r="P336" t="s">
        <v>44</v>
      </c>
      <c r="Q336" s="1">
        <v>44605</v>
      </c>
      <c r="R336" t="s">
        <v>51</v>
      </c>
      <c r="S336" t="s">
        <v>79</v>
      </c>
      <c r="T336">
        <v>2022</v>
      </c>
      <c r="U336">
        <v>784</v>
      </c>
      <c r="V336">
        <v>790</v>
      </c>
      <c r="W336" t="s">
        <v>70</v>
      </c>
      <c r="X336">
        <v>751000</v>
      </c>
      <c r="Y336">
        <v>0.1925</v>
      </c>
      <c r="Z336">
        <v>48</v>
      </c>
      <c r="AA336" t="s">
        <v>126</v>
      </c>
      <c r="AB336" t="s">
        <v>38</v>
      </c>
      <c r="AC336" t="s">
        <v>39</v>
      </c>
      <c r="AD336">
        <v>12050.02</v>
      </c>
      <c r="AE336" t="b">
        <v>1</v>
      </c>
      <c r="AF336">
        <v>572776.55000000005</v>
      </c>
    </row>
    <row r="337" spans="1:32" x14ac:dyDescent="0.3">
      <c r="A337" t="s">
        <v>797</v>
      </c>
      <c r="B337" t="s">
        <v>798</v>
      </c>
      <c r="C337" t="s">
        <v>98</v>
      </c>
      <c r="D337" t="s">
        <v>31</v>
      </c>
      <c r="E337">
        <v>499100</v>
      </c>
      <c r="F337">
        <v>60</v>
      </c>
      <c r="G337">
        <v>8.43</v>
      </c>
      <c r="H337">
        <v>493344.08</v>
      </c>
      <c r="I337">
        <v>0</v>
      </c>
      <c r="J337">
        <v>0</v>
      </c>
      <c r="K337">
        <v>0</v>
      </c>
      <c r="L337">
        <v>1</v>
      </c>
      <c r="M337">
        <v>142117484.08000001</v>
      </c>
      <c r="N337" s="1">
        <v>45596</v>
      </c>
      <c r="O337" t="s">
        <v>32</v>
      </c>
      <c r="P337" t="s">
        <v>33</v>
      </c>
      <c r="Q337" s="1">
        <v>45541</v>
      </c>
      <c r="R337" t="s">
        <v>89</v>
      </c>
      <c r="S337" t="s">
        <v>358</v>
      </c>
      <c r="T337">
        <v>2024</v>
      </c>
      <c r="U337">
        <v>784</v>
      </c>
      <c r="V337">
        <v>768</v>
      </c>
      <c r="W337" t="s">
        <v>57</v>
      </c>
      <c r="X337">
        <v>432000</v>
      </c>
      <c r="Y337">
        <v>0.28399999999999997</v>
      </c>
      <c r="Z337">
        <v>45</v>
      </c>
      <c r="AA337" t="s">
        <v>53</v>
      </c>
      <c r="AB337" t="s">
        <v>38</v>
      </c>
      <c r="AC337" t="s">
        <v>54</v>
      </c>
      <c r="AD337">
        <v>10222.969999999999</v>
      </c>
      <c r="AE337" t="b">
        <v>0</v>
      </c>
      <c r="AF337">
        <v>787680.46</v>
      </c>
    </row>
    <row r="338" spans="1:32" x14ac:dyDescent="0.3">
      <c r="A338" t="s">
        <v>799</v>
      </c>
      <c r="B338" t="s">
        <v>800</v>
      </c>
      <c r="C338" t="s">
        <v>103</v>
      </c>
      <c r="D338" t="s">
        <v>31</v>
      </c>
      <c r="E338">
        <v>1439300</v>
      </c>
      <c r="F338">
        <v>36</v>
      </c>
      <c r="G338">
        <v>10.02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142117484.08000001</v>
      </c>
      <c r="N338" s="1">
        <v>45596</v>
      </c>
      <c r="O338" t="s">
        <v>32</v>
      </c>
      <c r="P338" t="s">
        <v>33</v>
      </c>
      <c r="Q338" s="1">
        <v>44422</v>
      </c>
      <c r="R338" t="s">
        <v>34</v>
      </c>
      <c r="S338" t="s">
        <v>361</v>
      </c>
      <c r="T338">
        <v>2021</v>
      </c>
      <c r="U338">
        <v>785</v>
      </c>
      <c r="V338">
        <v>777</v>
      </c>
      <c r="W338" t="s">
        <v>63</v>
      </c>
      <c r="X338">
        <v>1137000</v>
      </c>
      <c r="Y338">
        <v>0.49030000000000001</v>
      </c>
      <c r="Z338">
        <v>27</v>
      </c>
      <c r="AA338" t="s">
        <v>53</v>
      </c>
      <c r="AB338" t="s">
        <v>38</v>
      </c>
      <c r="AC338" t="s">
        <v>81</v>
      </c>
      <c r="AD338">
        <v>46455.68</v>
      </c>
      <c r="AE338" t="b">
        <v>0</v>
      </c>
      <c r="AF338">
        <v>1013503.42</v>
      </c>
    </row>
    <row r="339" spans="1:32" x14ac:dyDescent="0.3">
      <c r="A339" t="s">
        <v>801</v>
      </c>
      <c r="B339" t="s">
        <v>802</v>
      </c>
      <c r="C339" t="s">
        <v>103</v>
      </c>
      <c r="D339" t="s">
        <v>31</v>
      </c>
      <c r="E339">
        <v>1937100</v>
      </c>
      <c r="F339">
        <v>84</v>
      </c>
      <c r="G339">
        <v>13.52</v>
      </c>
      <c r="H339">
        <v>1196254.02</v>
      </c>
      <c r="I339">
        <v>0</v>
      </c>
      <c r="J339">
        <v>0</v>
      </c>
      <c r="K339">
        <v>0</v>
      </c>
      <c r="L339">
        <v>1</v>
      </c>
      <c r="M339">
        <v>142117484.08000001</v>
      </c>
      <c r="N339" s="1">
        <v>45596</v>
      </c>
      <c r="O339" t="s">
        <v>32</v>
      </c>
      <c r="P339" t="s">
        <v>33</v>
      </c>
      <c r="Q339" s="1">
        <v>44651</v>
      </c>
      <c r="R339" t="s">
        <v>171</v>
      </c>
      <c r="S339" t="s">
        <v>172</v>
      </c>
      <c r="T339">
        <v>2022</v>
      </c>
      <c r="U339">
        <v>785</v>
      </c>
      <c r="V339">
        <v>756</v>
      </c>
      <c r="W339" t="s">
        <v>36</v>
      </c>
      <c r="X339">
        <v>3652000</v>
      </c>
      <c r="Y339">
        <v>0.1176</v>
      </c>
      <c r="Z339">
        <v>58</v>
      </c>
      <c r="AA339" t="s">
        <v>104</v>
      </c>
      <c r="AB339" t="s">
        <v>38</v>
      </c>
      <c r="AC339" t="s">
        <v>54</v>
      </c>
      <c r="AD339">
        <v>35789.58</v>
      </c>
      <c r="AE339" t="b">
        <v>0</v>
      </c>
      <c r="AF339">
        <v>1384614.55</v>
      </c>
    </row>
    <row r="340" spans="1:32" x14ac:dyDescent="0.3">
      <c r="A340" t="s">
        <v>803</v>
      </c>
      <c r="B340" t="s">
        <v>804</v>
      </c>
      <c r="C340" t="s">
        <v>42</v>
      </c>
      <c r="D340" t="s">
        <v>31</v>
      </c>
      <c r="E340">
        <v>516200</v>
      </c>
      <c r="F340">
        <v>60</v>
      </c>
      <c r="G340">
        <v>13.7</v>
      </c>
      <c r="H340">
        <v>378611.02</v>
      </c>
      <c r="I340">
        <v>0</v>
      </c>
      <c r="J340">
        <v>0</v>
      </c>
      <c r="K340">
        <v>0</v>
      </c>
      <c r="L340">
        <v>1</v>
      </c>
      <c r="M340">
        <v>142117484.08000001</v>
      </c>
      <c r="N340" s="1">
        <v>45596</v>
      </c>
      <c r="O340" t="s">
        <v>32</v>
      </c>
      <c r="P340" t="s">
        <v>50</v>
      </c>
      <c r="Q340" s="1">
        <v>45157</v>
      </c>
      <c r="R340" t="s">
        <v>171</v>
      </c>
      <c r="S340" t="s">
        <v>281</v>
      </c>
      <c r="T340">
        <v>2023</v>
      </c>
      <c r="U340">
        <v>785</v>
      </c>
      <c r="V340">
        <v>754</v>
      </c>
      <c r="W340" t="s">
        <v>57</v>
      </c>
      <c r="X340">
        <v>1741000</v>
      </c>
      <c r="Y340">
        <v>8.2199999999999995E-2</v>
      </c>
      <c r="Z340">
        <v>44</v>
      </c>
      <c r="AA340" t="s">
        <v>37</v>
      </c>
      <c r="AB340" t="s">
        <v>38</v>
      </c>
      <c r="AC340" t="s">
        <v>81</v>
      </c>
      <c r="AD340">
        <v>11930.94</v>
      </c>
      <c r="AE340" t="b">
        <v>0</v>
      </c>
      <c r="AF340">
        <v>650800.14</v>
      </c>
    </row>
    <row r="341" spans="1:32" x14ac:dyDescent="0.3">
      <c r="A341" t="s">
        <v>805</v>
      </c>
      <c r="B341" t="s">
        <v>806</v>
      </c>
      <c r="C341" t="s">
        <v>103</v>
      </c>
      <c r="D341" t="s">
        <v>31</v>
      </c>
      <c r="E341">
        <v>1615700</v>
      </c>
      <c r="F341">
        <v>36</v>
      </c>
      <c r="G341">
        <v>7.94</v>
      </c>
      <c r="H341">
        <v>1281497.82</v>
      </c>
      <c r="I341">
        <v>23</v>
      </c>
      <c r="J341">
        <v>0</v>
      </c>
      <c r="K341">
        <v>0</v>
      </c>
      <c r="L341">
        <v>1</v>
      </c>
      <c r="M341">
        <v>142117484.08000001</v>
      </c>
      <c r="N341" s="1">
        <v>45596</v>
      </c>
      <c r="O341" t="s">
        <v>139</v>
      </c>
      <c r="P341" t="s">
        <v>74</v>
      </c>
      <c r="Q341" s="1">
        <v>45385</v>
      </c>
      <c r="R341" t="s">
        <v>34</v>
      </c>
      <c r="S341" t="s">
        <v>123</v>
      </c>
      <c r="T341">
        <v>2024</v>
      </c>
      <c r="U341">
        <v>786</v>
      </c>
      <c r="V341">
        <v>773</v>
      </c>
      <c r="W341" t="s">
        <v>57</v>
      </c>
      <c r="X341">
        <v>1783000</v>
      </c>
      <c r="Y341">
        <v>0.34050000000000002</v>
      </c>
      <c r="Z341">
        <v>54</v>
      </c>
      <c r="AA341" t="s">
        <v>148</v>
      </c>
      <c r="AB341" t="s">
        <v>38</v>
      </c>
      <c r="AC341" t="s">
        <v>39</v>
      </c>
      <c r="AD341">
        <v>50585.46</v>
      </c>
      <c r="AE341" t="b">
        <v>0</v>
      </c>
      <c r="AF341">
        <v>2185726.9900000002</v>
      </c>
    </row>
    <row r="342" spans="1:32" x14ac:dyDescent="0.3">
      <c r="A342" t="s">
        <v>807</v>
      </c>
      <c r="B342" t="s">
        <v>808</v>
      </c>
      <c r="C342" t="s">
        <v>103</v>
      </c>
      <c r="D342" t="s">
        <v>31</v>
      </c>
      <c r="E342">
        <v>2299300</v>
      </c>
      <c r="F342">
        <v>72</v>
      </c>
      <c r="G342">
        <v>11.92</v>
      </c>
      <c r="H342">
        <v>2091769.58</v>
      </c>
      <c r="I342">
        <v>0</v>
      </c>
      <c r="J342">
        <v>0</v>
      </c>
      <c r="K342">
        <v>0</v>
      </c>
      <c r="L342">
        <v>1</v>
      </c>
      <c r="M342">
        <v>142117484.08000001</v>
      </c>
      <c r="N342" s="1">
        <v>45596</v>
      </c>
      <c r="O342" t="s">
        <v>32</v>
      </c>
      <c r="P342" t="s">
        <v>33</v>
      </c>
      <c r="Q342" s="1">
        <v>45497</v>
      </c>
      <c r="R342" t="s">
        <v>45</v>
      </c>
      <c r="S342" t="s">
        <v>107</v>
      </c>
      <c r="T342">
        <v>2024</v>
      </c>
      <c r="U342">
        <v>786</v>
      </c>
      <c r="V342">
        <v>767</v>
      </c>
      <c r="W342" t="s">
        <v>36</v>
      </c>
      <c r="X342">
        <v>1918000</v>
      </c>
      <c r="Y342">
        <v>0.28060000000000002</v>
      </c>
      <c r="Z342">
        <v>54</v>
      </c>
      <c r="AA342" t="s">
        <v>233</v>
      </c>
      <c r="AB342" t="s">
        <v>38</v>
      </c>
      <c r="AC342" t="s">
        <v>81</v>
      </c>
      <c r="AD342">
        <v>44856.160000000003</v>
      </c>
      <c r="AE342" t="b">
        <v>1</v>
      </c>
      <c r="AF342">
        <v>2911298.54</v>
      </c>
    </row>
    <row r="343" spans="1:32" x14ac:dyDescent="0.3">
      <c r="A343" t="s">
        <v>809</v>
      </c>
      <c r="B343" t="s">
        <v>810</v>
      </c>
      <c r="C343" t="s">
        <v>30</v>
      </c>
      <c r="D343" t="s">
        <v>31</v>
      </c>
      <c r="E343">
        <v>757900</v>
      </c>
      <c r="F343">
        <v>72</v>
      </c>
      <c r="G343">
        <v>9.8000000000000007</v>
      </c>
      <c r="H343">
        <v>455218.15</v>
      </c>
      <c r="I343">
        <v>35</v>
      </c>
      <c r="J343">
        <v>0</v>
      </c>
      <c r="K343">
        <v>0</v>
      </c>
      <c r="L343">
        <v>2</v>
      </c>
      <c r="M343">
        <v>142117484.08000001</v>
      </c>
      <c r="N343" s="1">
        <v>45596</v>
      </c>
      <c r="O343" t="s">
        <v>116</v>
      </c>
      <c r="P343" t="s">
        <v>50</v>
      </c>
      <c r="Q343" s="1">
        <v>44652</v>
      </c>
      <c r="R343" t="s">
        <v>34</v>
      </c>
      <c r="S343" t="s">
        <v>145</v>
      </c>
      <c r="T343">
        <v>2022</v>
      </c>
      <c r="U343">
        <v>787</v>
      </c>
      <c r="V343">
        <v>779</v>
      </c>
      <c r="W343" t="s">
        <v>36</v>
      </c>
      <c r="X343">
        <v>2359000</v>
      </c>
      <c r="Y343">
        <v>7.0999999999999994E-2</v>
      </c>
      <c r="Z343">
        <v>41</v>
      </c>
      <c r="AA343" t="s">
        <v>140</v>
      </c>
      <c r="AB343" t="s">
        <v>38</v>
      </c>
      <c r="AC343" t="s">
        <v>81</v>
      </c>
      <c r="AD343">
        <v>13964.41</v>
      </c>
      <c r="AE343" t="b">
        <v>0</v>
      </c>
      <c r="AF343">
        <v>567829.76000000001</v>
      </c>
    </row>
    <row r="344" spans="1:32" x14ac:dyDescent="0.3">
      <c r="A344" t="s">
        <v>811</v>
      </c>
      <c r="B344" t="s">
        <v>812</v>
      </c>
      <c r="C344" t="s">
        <v>30</v>
      </c>
      <c r="D344" t="s">
        <v>31</v>
      </c>
      <c r="E344">
        <v>1124400</v>
      </c>
      <c r="F344">
        <v>72</v>
      </c>
      <c r="G344">
        <v>14.27</v>
      </c>
      <c r="H344">
        <v>781047.58</v>
      </c>
      <c r="I344">
        <v>0</v>
      </c>
      <c r="J344">
        <v>0</v>
      </c>
      <c r="K344">
        <v>0</v>
      </c>
      <c r="L344">
        <v>1</v>
      </c>
      <c r="M344">
        <v>142117484.08000001</v>
      </c>
      <c r="N344" s="1">
        <v>45596</v>
      </c>
      <c r="O344" t="s">
        <v>32</v>
      </c>
      <c r="P344" t="s">
        <v>50</v>
      </c>
      <c r="Q344" s="1">
        <v>44890</v>
      </c>
      <c r="R344" t="s">
        <v>99</v>
      </c>
      <c r="S344" t="s">
        <v>219</v>
      </c>
      <c r="T344">
        <v>2022</v>
      </c>
      <c r="U344">
        <v>787</v>
      </c>
      <c r="V344">
        <v>752</v>
      </c>
      <c r="W344" t="s">
        <v>70</v>
      </c>
      <c r="X344">
        <v>365000</v>
      </c>
      <c r="Y344">
        <v>0.7671</v>
      </c>
      <c r="Z344">
        <v>28</v>
      </c>
      <c r="AA344" t="s">
        <v>148</v>
      </c>
      <c r="AB344" t="s">
        <v>38</v>
      </c>
      <c r="AC344" t="s">
        <v>81</v>
      </c>
      <c r="AD344">
        <v>23331.97</v>
      </c>
      <c r="AE344" t="b">
        <v>0</v>
      </c>
      <c r="AF344">
        <v>1234729.95</v>
      </c>
    </row>
    <row r="345" spans="1:32" x14ac:dyDescent="0.3">
      <c r="A345" t="s">
        <v>813</v>
      </c>
      <c r="B345" t="s">
        <v>814</v>
      </c>
      <c r="C345" t="s">
        <v>98</v>
      </c>
      <c r="D345" t="s">
        <v>31</v>
      </c>
      <c r="E345">
        <v>742700</v>
      </c>
      <c r="F345">
        <v>36</v>
      </c>
      <c r="G345">
        <v>11.84</v>
      </c>
      <c r="H345">
        <v>157553.29</v>
      </c>
      <c r="I345">
        <v>0</v>
      </c>
      <c r="J345">
        <v>0</v>
      </c>
      <c r="K345">
        <v>0</v>
      </c>
      <c r="L345">
        <v>1</v>
      </c>
      <c r="M345">
        <v>142117484.08000001</v>
      </c>
      <c r="N345" s="1">
        <v>45596</v>
      </c>
      <c r="O345" t="s">
        <v>32</v>
      </c>
      <c r="P345" t="s">
        <v>50</v>
      </c>
      <c r="Q345" s="1">
        <v>44736</v>
      </c>
      <c r="R345" t="s">
        <v>94</v>
      </c>
      <c r="S345" t="s">
        <v>117</v>
      </c>
      <c r="T345">
        <v>2022</v>
      </c>
      <c r="U345">
        <v>787</v>
      </c>
      <c r="V345">
        <v>786</v>
      </c>
      <c r="W345" t="s">
        <v>36</v>
      </c>
      <c r="X345">
        <v>3496000</v>
      </c>
      <c r="Y345">
        <v>8.4500000000000006E-2</v>
      </c>
      <c r="Z345">
        <v>39</v>
      </c>
      <c r="AA345" t="s">
        <v>226</v>
      </c>
      <c r="AB345" t="s">
        <v>38</v>
      </c>
      <c r="AC345" t="s">
        <v>39</v>
      </c>
      <c r="AD345">
        <v>24611.55</v>
      </c>
      <c r="AE345" t="b">
        <v>0</v>
      </c>
      <c r="AF345">
        <v>695943.15</v>
      </c>
    </row>
    <row r="346" spans="1:32" x14ac:dyDescent="0.3">
      <c r="A346" t="s">
        <v>815</v>
      </c>
      <c r="B346" t="s">
        <v>816</v>
      </c>
      <c r="C346" t="s">
        <v>30</v>
      </c>
      <c r="D346" t="s">
        <v>31</v>
      </c>
      <c r="E346">
        <v>1498700</v>
      </c>
      <c r="F346">
        <v>48</v>
      </c>
      <c r="G346">
        <v>11.16</v>
      </c>
      <c r="H346">
        <v>1248970.05</v>
      </c>
      <c r="I346">
        <v>0</v>
      </c>
      <c r="J346">
        <v>0</v>
      </c>
      <c r="K346">
        <v>0</v>
      </c>
      <c r="L346">
        <v>1</v>
      </c>
      <c r="M346">
        <v>142117484.08000001</v>
      </c>
      <c r="N346" s="1">
        <v>45596</v>
      </c>
      <c r="O346" t="s">
        <v>32</v>
      </c>
      <c r="P346" t="s">
        <v>33</v>
      </c>
      <c r="Q346" s="1">
        <v>45444</v>
      </c>
      <c r="R346" t="s">
        <v>51</v>
      </c>
      <c r="S346" t="s">
        <v>194</v>
      </c>
      <c r="T346">
        <v>2024</v>
      </c>
      <c r="U346">
        <v>787</v>
      </c>
      <c r="V346">
        <v>743</v>
      </c>
      <c r="W346" t="s">
        <v>70</v>
      </c>
      <c r="X346">
        <v>2482000</v>
      </c>
      <c r="Y346">
        <v>0.18779999999999999</v>
      </c>
      <c r="Z346">
        <v>37</v>
      </c>
      <c r="AA346" t="s">
        <v>126</v>
      </c>
      <c r="AB346" t="s">
        <v>38</v>
      </c>
      <c r="AC346" t="s">
        <v>39</v>
      </c>
      <c r="AD346">
        <v>38851.24</v>
      </c>
      <c r="AE346" t="b">
        <v>0</v>
      </c>
      <c r="AF346">
        <v>1576455.14</v>
      </c>
    </row>
    <row r="347" spans="1:32" x14ac:dyDescent="0.3">
      <c r="A347" t="s">
        <v>817</v>
      </c>
      <c r="B347" t="s">
        <v>818</v>
      </c>
      <c r="C347" t="s">
        <v>67</v>
      </c>
      <c r="D347" t="s">
        <v>31</v>
      </c>
      <c r="E347">
        <v>1047900</v>
      </c>
      <c r="F347">
        <v>48</v>
      </c>
      <c r="G347">
        <v>14.22</v>
      </c>
      <c r="H347">
        <v>294895.40999999997</v>
      </c>
      <c r="I347">
        <v>0</v>
      </c>
      <c r="J347">
        <v>0</v>
      </c>
      <c r="K347">
        <v>0</v>
      </c>
      <c r="L347">
        <v>1</v>
      </c>
      <c r="M347">
        <v>142117484.08000001</v>
      </c>
      <c r="N347" s="1">
        <v>45596</v>
      </c>
      <c r="O347" t="s">
        <v>32</v>
      </c>
      <c r="P347" t="s">
        <v>44</v>
      </c>
      <c r="Q347" s="1">
        <v>44563</v>
      </c>
      <c r="R347" t="s">
        <v>171</v>
      </c>
      <c r="S347" t="s">
        <v>281</v>
      </c>
      <c r="T347">
        <v>2022</v>
      </c>
      <c r="U347">
        <v>789</v>
      </c>
      <c r="V347">
        <v>739</v>
      </c>
      <c r="W347" t="s">
        <v>57</v>
      </c>
      <c r="X347">
        <v>2624000</v>
      </c>
      <c r="Y347">
        <v>0.13150000000000001</v>
      </c>
      <c r="Z347">
        <v>40</v>
      </c>
      <c r="AA347" t="s">
        <v>108</v>
      </c>
      <c r="AB347" t="s">
        <v>38</v>
      </c>
      <c r="AC347" t="s">
        <v>39</v>
      </c>
      <c r="AD347">
        <v>28751.19</v>
      </c>
      <c r="AE347" t="b">
        <v>0</v>
      </c>
      <c r="AF347">
        <v>865896.73</v>
      </c>
    </row>
    <row r="348" spans="1:32" x14ac:dyDescent="0.3">
      <c r="A348" t="s">
        <v>819</v>
      </c>
      <c r="B348" t="s">
        <v>820</v>
      </c>
      <c r="C348" t="s">
        <v>98</v>
      </c>
      <c r="D348" t="s">
        <v>31</v>
      </c>
      <c r="E348">
        <v>750500</v>
      </c>
      <c r="F348">
        <v>60</v>
      </c>
      <c r="G348">
        <v>10.36</v>
      </c>
      <c r="H348">
        <v>356776.7</v>
      </c>
      <c r="I348">
        <v>0</v>
      </c>
      <c r="J348">
        <v>0</v>
      </c>
      <c r="K348">
        <v>0</v>
      </c>
      <c r="L348">
        <v>1</v>
      </c>
      <c r="M348">
        <v>142117484.08000001</v>
      </c>
      <c r="N348" s="1">
        <v>45596</v>
      </c>
      <c r="O348" t="s">
        <v>32</v>
      </c>
      <c r="P348" t="s">
        <v>44</v>
      </c>
      <c r="Q348" s="1">
        <v>44671</v>
      </c>
      <c r="R348" t="s">
        <v>94</v>
      </c>
      <c r="S348" t="s">
        <v>95</v>
      </c>
      <c r="T348">
        <v>2022</v>
      </c>
      <c r="U348">
        <v>789</v>
      </c>
      <c r="V348">
        <v>793</v>
      </c>
      <c r="W348" t="s">
        <v>57</v>
      </c>
      <c r="X348">
        <v>2227000</v>
      </c>
      <c r="Y348">
        <v>8.6599999999999996E-2</v>
      </c>
      <c r="Z348">
        <v>52</v>
      </c>
      <c r="AA348" t="s">
        <v>162</v>
      </c>
      <c r="AB348" t="s">
        <v>38</v>
      </c>
      <c r="AC348" t="s">
        <v>54</v>
      </c>
      <c r="AD348">
        <v>16079.17</v>
      </c>
      <c r="AE348" t="b">
        <v>0</v>
      </c>
      <c r="AF348">
        <v>541170.92000000004</v>
      </c>
    </row>
    <row r="349" spans="1:32" x14ac:dyDescent="0.3">
      <c r="A349" t="s">
        <v>821</v>
      </c>
      <c r="B349" t="s">
        <v>822</v>
      </c>
      <c r="C349" t="s">
        <v>67</v>
      </c>
      <c r="D349" t="s">
        <v>31</v>
      </c>
      <c r="E349">
        <v>803900</v>
      </c>
      <c r="F349">
        <v>60</v>
      </c>
      <c r="G349">
        <v>8.33</v>
      </c>
      <c r="H349">
        <v>261161.92</v>
      </c>
      <c r="I349">
        <v>263</v>
      </c>
      <c r="J349">
        <v>0</v>
      </c>
      <c r="K349">
        <v>0</v>
      </c>
      <c r="L349">
        <v>3</v>
      </c>
      <c r="M349">
        <v>142117484.08000001</v>
      </c>
      <c r="N349" s="1">
        <v>45596</v>
      </c>
      <c r="O349" t="s">
        <v>260</v>
      </c>
      <c r="P349" t="s">
        <v>74</v>
      </c>
      <c r="Q349" s="1">
        <v>44358</v>
      </c>
      <c r="R349" t="s">
        <v>68</v>
      </c>
      <c r="S349" t="s">
        <v>69</v>
      </c>
      <c r="T349">
        <v>2021</v>
      </c>
      <c r="U349">
        <v>790</v>
      </c>
      <c r="V349">
        <v>740</v>
      </c>
      <c r="W349" t="s">
        <v>57</v>
      </c>
      <c r="X349">
        <v>493000</v>
      </c>
      <c r="Y349">
        <v>0.39989999999999998</v>
      </c>
      <c r="Z349">
        <v>26</v>
      </c>
      <c r="AA349" t="s">
        <v>197</v>
      </c>
      <c r="AB349" t="s">
        <v>38</v>
      </c>
      <c r="AC349" t="s">
        <v>81</v>
      </c>
      <c r="AD349">
        <v>16427.45</v>
      </c>
      <c r="AE349" t="b">
        <v>0</v>
      </c>
      <c r="AF349">
        <v>486021.16</v>
      </c>
    </row>
    <row r="350" spans="1:32" x14ac:dyDescent="0.3">
      <c r="A350" t="s">
        <v>823</v>
      </c>
      <c r="B350" t="s">
        <v>824</v>
      </c>
      <c r="C350" t="s">
        <v>30</v>
      </c>
      <c r="D350" t="s">
        <v>31</v>
      </c>
      <c r="E350">
        <v>606800</v>
      </c>
      <c r="F350">
        <v>84</v>
      </c>
      <c r="G350">
        <v>7.86</v>
      </c>
      <c r="H350">
        <v>420656.93</v>
      </c>
      <c r="I350">
        <v>0</v>
      </c>
      <c r="J350">
        <v>0</v>
      </c>
      <c r="K350">
        <v>0</v>
      </c>
      <c r="L350">
        <v>1</v>
      </c>
      <c r="M350">
        <v>142117484.08000001</v>
      </c>
      <c r="N350" s="1">
        <v>45596</v>
      </c>
      <c r="O350" t="s">
        <v>32</v>
      </c>
      <c r="P350" t="s">
        <v>50</v>
      </c>
      <c r="Q350" s="1">
        <v>44719</v>
      </c>
      <c r="R350" t="s">
        <v>171</v>
      </c>
      <c r="S350" t="s">
        <v>475</v>
      </c>
      <c r="T350">
        <v>2022</v>
      </c>
      <c r="U350">
        <v>790</v>
      </c>
      <c r="V350">
        <v>785</v>
      </c>
      <c r="W350" t="s">
        <v>70</v>
      </c>
      <c r="X350">
        <v>4013000</v>
      </c>
      <c r="Y350">
        <v>2.8199999999999999E-2</v>
      </c>
      <c r="Z350">
        <v>43</v>
      </c>
      <c r="AA350" t="s">
        <v>47</v>
      </c>
      <c r="AB350" t="s">
        <v>38</v>
      </c>
      <c r="AC350" t="s">
        <v>81</v>
      </c>
      <c r="AD350">
        <v>9415.4500000000007</v>
      </c>
      <c r="AE350" t="b">
        <v>0</v>
      </c>
      <c r="AF350">
        <v>463782.7</v>
      </c>
    </row>
    <row r="351" spans="1:32" x14ac:dyDescent="0.3">
      <c r="A351" t="s">
        <v>825</v>
      </c>
      <c r="B351" t="s">
        <v>826</v>
      </c>
      <c r="C351" t="s">
        <v>67</v>
      </c>
      <c r="D351" t="s">
        <v>31</v>
      </c>
      <c r="E351">
        <v>2014000</v>
      </c>
      <c r="F351">
        <v>72</v>
      </c>
      <c r="G351">
        <v>10.97</v>
      </c>
      <c r="H351">
        <v>1028684.49</v>
      </c>
      <c r="I351">
        <v>0</v>
      </c>
      <c r="J351">
        <v>0</v>
      </c>
      <c r="K351">
        <v>0</v>
      </c>
      <c r="L351">
        <v>1</v>
      </c>
      <c r="M351">
        <v>142117484.08000001</v>
      </c>
      <c r="N351" s="1">
        <v>45596</v>
      </c>
      <c r="O351" t="s">
        <v>32</v>
      </c>
      <c r="P351" t="s">
        <v>44</v>
      </c>
      <c r="Q351" s="1">
        <v>44528</v>
      </c>
      <c r="R351" t="s">
        <v>94</v>
      </c>
      <c r="S351" t="s">
        <v>95</v>
      </c>
      <c r="T351">
        <v>2021</v>
      </c>
      <c r="U351">
        <v>790</v>
      </c>
      <c r="V351">
        <v>793</v>
      </c>
      <c r="W351" t="s">
        <v>63</v>
      </c>
      <c r="X351">
        <v>3820000</v>
      </c>
      <c r="Y351">
        <v>0.1203</v>
      </c>
      <c r="Z351">
        <v>55</v>
      </c>
      <c r="AA351" t="s">
        <v>162</v>
      </c>
      <c r="AB351" t="s">
        <v>38</v>
      </c>
      <c r="AC351" t="s">
        <v>81</v>
      </c>
      <c r="AD351">
        <v>38303.699999999997</v>
      </c>
      <c r="AE351" t="b">
        <v>0</v>
      </c>
      <c r="AF351">
        <v>1815655.48</v>
      </c>
    </row>
    <row r="352" spans="1:32" x14ac:dyDescent="0.3">
      <c r="A352" t="s">
        <v>827</v>
      </c>
      <c r="B352" t="s">
        <v>828</v>
      </c>
      <c r="C352" t="s">
        <v>30</v>
      </c>
      <c r="D352" t="s">
        <v>31</v>
      </c>
      <c r="E352">
        <v>1348700</v>
      </c>
      <c r="F352">
        <v>60</v>
      </c>
      <c r="G352">
        <v>7.94</v>
      </c>
      <c r="H352">
        <v>1121162</v>
      </c>
      <c r="I352">
        <v>63</v>
      </c>
      <c r="J352">
        <v>0</v>
      </c>
      <c r="K352">
        <v>0</v>
      </c>
      <c r="L352">
        <v>2</v>
      </c>
      <c r="M352">
        <v>142117484.08000001</v>
      </c>
      <c r="N352" s="1">
        <v>45596</v>
      </c>
      <c r="O352" t="s">
        <v>122</v>
      </c>
      <c r="P352" t="s">
        <v>74</v>
      </c>
      <c r="Q352" s="1">
        <v>45376</v>
      </c>
      <c r="R352" t="s">
        <v>94</v>
      </c>
      <c r="S352" t="s">
        <v>95</v>
      </c>
      <c r="T352">
        <v>2024</v>
      </c>
      <c r="U352">
        <v>791</v>
      </c>
      <c r="V352">
        <v>762</v>
      </c>
      <c r="W352" t="s">
        <v>63</v>
      </c>
      <c r="X352">
        <v>3573000</v>
      </c>
      <c r="Y352">
        <v>9.1700000000000004E-2</v>
      </c>
      <c r="Z352">
        <v>48</v>
      </c>
      <c r="AA352" t="s">
        <v>80</v>
      </c>
      <c r="AB352" t="s">
        <v>38</v>
      </c>
      <c r="AC352" t="s">
        <v>39</v>
      </c>
      <c r="AD352">
        <v>27308.06</v>
      </c>
      <c r="AE352" t="b">
        <v>1</v>
      </c>
      <c r="AF352">
        <v>1502806.51</v>
      </c>
    </row>
    <row r="353" spans="1:32" x14ac:dyDescent="0.3">
      <c r="A353" t="s">
        <v>829</v>
      </c>
      <c r="B353" t="s">
        <v>830</v>
      </c>
      <c r="C353" t="s">
        <v>98</v>
      </c>
      <c r="D353" t="s">
        <v>31</v>
      </c>
      <c r="E353">
        <v>1001600</v>
      </c>
      <c r="F353">
        <v>60</v>
      </c>
      <c r="G353">
        <v>11.05</v>
      </c>
      <c r="H353">
        <v>267832.21999999997</v>
      </c>
      <c r="I353">
        <v>0</v>
      </c>
      <c r="J353">
        <v>0</v>
      </c>
      <c r="K353">
        <v>0</v>
      </c>
      <c r="L353">
        <v>1</v>
      </c>
      <c r="M353">
        <v>142117484.08000001</v>
      </c>
      <c r="N353" s="1">
        <v>45596</v>
      </c>
      <c r="O353" t="s">
        <v>32</v>
      </c>
      <c r="P353" t="s">
        <v>74</v>
      </c>
      <c r="Q353" s="1">
        <v>44266</v>
      </c>
      <c r="R353" t="s">
        <v>45</v>
      </c>
      <c r="S353" t="s">
        <v>46</v>
      </c>
      <c r="T353">
        <v>2021</v>
      </c>
      <c r="U353">
        <v>791</v>
      </c>
      <c r="V353">
        <v>821</v>
      </c>
      <c r="W353" t="s">
        <v>36</v>
      </c>
      <c r="X353">
        <v>3283000</v>
      </c>
      <c r="Y353">
        <v>7.9699999999999993E-2</v>
      </c>
      <c r="Z353">
        <v>44</v>
      </c>
      <c r="AA353" t="s">
        <v>140</v>
      </c>
      <c r="AB353" t="s">
        <v>38</v>
      </c>
      <c r="AC353" t="s">
        <v>39</v>
      </c>
      <c r="AD353">
        <v>21802.19</v>
      </c>
      <c r="AE353" t="b">
        <v>0</v>
      </c>
      <c r="AF353">
        <v>515250.16</v>
      </c>
    </row>
    <row r="354" spans="1:32" x14ac:dyDescent="0.3">
      <c r="A354" t="s">
        <v>831</v>
      </c>
      <c r="B354" t="s">
        <v>832</v>
      </c>
      <c r="C354" t="s">
        <v>98</v>
      </c>
      <c r="D354" t="s">
        <v>31</v>
      </c>
      <c r="E354">
        <v>1115700</v>
      </c>
      <c r="F354">
        <v>36</v>
      </c>
      <c r="G354">
        <v>11.33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142117484.08000001</v>
      </c>
      <c r="N354" s="1">
        <v>45596</v>
      </c>
      <c r="O354" t="s">
        <v>32</v>
      </c>
      <c r="P354" t="s">
        <v>33</v>
      </c>
      <c r="Q354" s="1">
        <v>44330</v>
      </c>
      <c r="R354" t="s">
        <v>94</v>
      </c>
      <c r="S354" t="s">
        <v>95</v>
      </c>
      <c r="T354">
        <v>2021</v>
      </c>
      <c r="U354">
        <v>791</v>
      </c>
      <c r="V354">
        <v>759</v>
      </c>
      <c r="W354" t="s">
        <v>70</v>
      </c>
      <c r="X354">
        <v>2470000</v>
      </c>
      <c r="Y354">
        <v>0.17829999999999999</v>
      </c>
      <c r="Z354">
        <v>25</v>
      </c>
      <c r="AA354" t="s">
        <v>47</v>
      </c>
      <c r="AB354" t="s">
        <v>38</v>
      </c>
      <c r="AC354" t="s">
        <v>81</v>
      </c>
      <c r="AD354">
        <v>36701.19</v>
      </c>
      <c r="AE354" t="b">
        <v>0</v>
      </c>
      <c r="AF354">
        <v>682127.29</v>
      </c>
    </row>
    <row r="355" spans="1:32" x14ac:dyDescent="0.3">
      <c r="A355" t="s">
        <v>833</v>
      </c>
      <c r="B355" t="s">
        <v>834</v>
      </c>
      <c r="C355" t="s">
        <v>42</v>
      </c>
      <c r="D355" t="s">
        <v>31</v>
      </c>
      <c r="E355">
        <v>644000</v>
      </c>
      <c r="F355">
        <v>72</v>
      </c>
      <c r="G355">
        <v>12.52</v>
      </c>
      <c r="H355">
        <v>324033.23</v>
      </c>
      <c r="I355">
        <v>74</v>
      </c>
      <c r="J355">
        <v>0</v>
      </c>
      <c r="K355">
        <v>0</v>
      </c>
      <c r="L355">
        <v>2</v>
      </c>
      <c r="M355">
        <v>142117484.08000001</v>
      </c>
      <c r="N355" s="1">
        <v>45596</v>
      </c>
      <c r="O355" t="s">
        <v>122</v>
      </c>
      <c r="P355" t="s">
        <v>50</v>
      </c>
      <c r="Q355" s="1">
        <v>44618</v>
      </c>
      <c r="R355" t="s">
        <v>94</v>
      </c>
      <c r="S355" t="s">
        <v>117</v>
      </c>
      <c r="T355">
        <v>2022</v>
      </c>
      <c r="U355">
        <v>792</v>
      </c>
      <c r="V355">
        <v>751</v>
      </c>
      <c r="W355" t="s">
        <v>63</v>
      </c>
      <c r="X355">
        <v>4033000</v>
      </c>
      <c r="Y355">
        <v>3.7999999999999999E-2</v>
      </c>
      <c r="Z355">
        <v>27</v>
      </c>
      <c r="AA355" t="s">
        <v>53</v>
      </c>
      <c r="AB355" t="s">
        <v>38</v>
      </c>
      <c r="AC355" t="s">
        <v>54</v>
      </c>
      <c r="AD355">
        <v>12765.15</v>
      </c>
      <c r="AE355" t="b">
        <v>0</v>
      </c>
      <c r="AF355">
        <v>619691.98</v>
      </c>
    </row>
    <row r="356" spans="1:32" x14ac:dyDescent="0.3">
      <c r="A356" t="s">
        <v>835</v>
      </c>
      <c r="B356" t="s">
        <v>836</v>
      </c>
      <c r="C356" t="s">
        <v>103</v>
      </c>
      <c r="D356" t="s">
        <v>31</v>
      </c>
      <c r="E356">
        <v>2431700</v>
      </c>
      <c r="F356">
        <v>48</v>
      </c>
      <c r="G356">
        <v>10.51</v>
      </c>
      <c r="H356">
        <v>2205081.4300000002</v>
      </c>
      <c r="I356">
        <v>0</v>
      </c>
      <c r="J356">
        <v>0</v>
      </c>
      <c r="K356">
        <v>0</v>
      </c>
      <c r="L356">
        <v>1</v>
      </c>
      <c r="M356">
        <v>142117484.08000001</v>
      </c>
      <c r="N356" s="1">
        <v>45596</v>
      </c>
      <c r="O356" t="s">
        <v>32</v>
      </c>
      <c r="P356" t="s">
        <v>33</v>
      </c>
      <c r="Q356" s="1">
        <v>45386</v>
      </c>
      <c r="R356" t="s">
        <v>94</v>
      </c>
      <c r="S356" t="s">
        <v>95</v>
      </c>
      <c r="T356">
        <v>2024</v>
      </c>
      <c r="U356">
        <v>792</v>
      </c>
      <c r="V356">
        <v>810</v>
      </c>
      <c r="W356" t="s">
        <v>63</v>
      </c>
      <c r="X356">
        <v>1792000</v>
      </c>
      <c r="Y356">
        <v>0.41699999999999998</v>
      </c>
      <c r="Z356">
        <v>31</v>
      </c>
      <c r="AA356" t="s">
        <v>64</v>
      </c>
      <c r="AB356" t="s">
        <v>38</v>
      </c>
      <c r="AC356" t="s">
        <v>81</v>
      </c>
      <c r="AD356">
        <v>62271.48</v>
      </c>
      <c r="AE356" t="b">
        <v>0</v>
      </c>
      <c r="AF356">
        <v>2233725.89</v>
      </c>
    </row>
    <row r="357" spans="1:32" x14ac:dyDescent="0.3">
      <c r="A357" t="s">
        <v>837</v>
      </c>
      <c r="B357" t="s">
        <v>838</v>
      </c>
      <c r="C357" t="s">
        <v>98</v>
      </c>
      <c r="D357" t="s">
        <v>31</v>
      </c>
      <c r="E357">
        <v>579200</v>
      </c>
      <c r="F357">
        <v>72</v>
      </c>
      <c r="G357">
        <v>13.17</v>
      </c>
      <c r="H357">
        <v>242418.86</v>
      </c>
      <c r="I357">
        <v>0</v>
      </c>
      <c r="J357">
        <v>0</v>
      </c>
      <c r="K357">
        <v>0</v>
      </c>
      <c r="L357">
        <v>1</v>
      </c>
      <c r="M357">
        <v>142117484.08000001</v>
      </c>
      <c r="N357" s="1">
        <v>45596</v>
      </c>
      <c r="O357" t="s">
        <v>32</v>
      </c>
      <c r="P357" t="s">
        <v>33</v>
      </c>
      <c r="Q357" s="1">
        <v>44287</v>
      </c>
      <c r="R357" t="s">
        <v>171</v>
      </c>
      <c r="S357" t="s">
        <v>435</v>
      </c>
      <c r="T357">
        <v>2021</v>
      </c>
      <c r="U357">
        <v>792</v>
      </c>
      <c r="V357">
        <v>743</v>
      </c>
      <c r="W357" t="s">
        <v>70</v>
      </c>
      <c r="X357">
        <v>1430000</v>
      </c>
      <c r="Y357">
        <v>9.8000000000000004E-2</v>
      </c>
      <c r="Z357">
        <v>53</v>
      </c>
      <c r="AA357" t="s">
        <v>80</v>
      </c>
      <c r="AB357" t="s">
        <v>38</v>
      </c>
      <c r="AC357" t="s">
        <v>54</v>
      </c>
      <c r="AD357">
        <v>11678.95</v>
      </c>
      <c r="AE357" t="b">
        <v>0</v>
      </c>
      <c r="AF357">
        <v>342518.26</v>
      </c>
    </row>
    <row r="358" spans="1:32" x14ac:dyDescent="0.3">
      <c r="A358" t="s">
        <v>839</v>
      </c>
      <c r="B358" t="s">
        <v>840</v>
      </c>
      <c r="C358" t="s">
        <v>30</v>
      </c>
      <c r="D358" t="s">
        <v>31</v>
      </c>
      <c r="E358">
        <v>1030600</v>
      </c>
      <c r="F358">
        <v>36</v>
      </c>
      <c r="G358">
        <v>9.9499999999999993</v>
      </c>
      <c r="H358">
        <v>394151.75</v>
      </c>
      <c r="I358">
        <v>0</v>
      </c>
      <c r="J358">
        <v>0</v>
      </c>
      <c r="K358">
        <v>0</v>
      </c>
      <c r="L358">
        <v>1</v>
      </c>
      <c r="M358">
        <v>142117484.08000001</v>
      </c>
      <c r="N358" s="1">
        <v>45596</v>
      </c>
      <c r="O358" t="s">
        <v>32</v>
      </c>
      <c r="P358" t="s">
        <v>74</v>
      </c>
      <c r="Q358" s="1">
        <v>44917</v>
      </c>
      <c r="R358" t="s">
        <v>99</v>
      </c>
      <c r="S358" t="s">
        <v>480</v>
      </c>
      <c r="T358">
        <v>2022</v>
      </c>
      <c r="U358">
        <v>793</v>
      </c>
      <c r="V358">
        <v>822</v>
      </c>
      <c r="W358" t="s">
        <v>63</v>
      </c>
      <c r="X358">
        <v>4094000</v>
      </c>
      <c r="Y358">
        <v>9.74E-2</v>
      </c>
      <c r="Z358">
        <v>40</v>
      </c>
      <c r="AA358" t="s">
        <v>53</v>
      </c>
      <c r="AB358" t="s">
        <v>38</v>
      </c>
      <c r="AC358" t="s">
        <v>81</v>
      </c>
      <c r="AD358">
        <v>33230.379999999997</v>
      </c>
      <c r="AE358" t="b">
        <v>0</v>
      </c>
      <c r="AF358">
        <v>1026702.32</v>
      </c>
    </row>
    <row r="359" spans="1:32" x14ac:dyDescent="0.3">
      <c r="A359" t="s">
        <v>841</v>
      </c>
      <c r="B359" t="s">
        <v>842</v>
      </c>
      <c r="C359" t="s">
        <v>67</v>
      </c>
      <c r="D359" t="s">
        <v>31</v>
      </c>
      <c r="E359">
        <v>1017600</v>
      </c>
      <c r="F359">
        <v>72</v>
      </c>
      <c r="G359">
        <v>11.01</v>
      </c>
      <c r="H359">
        <v>476555.34</v>
      </c>
      <c r="I359">
        <v>0</v>
      </c>
      <c r="J359">
        <v>0</v>
      </c>
      <c r="K359">
        <v>0</v>
      </c>
      <c r="L359">
        <v>1</v>
      </c>
      <c r="M359">
        <v>142117484.08000001</v>
      </c>
      <c r="N359" s="1">
        <v>45596</v>
      </c>
      <c r="O359" t="s">
        <v>32</v>
      </c>
      <c r="P359" t="s">
        <v>74</v>
      </c>
      <c r="Q359" s="1">
        <v>44422</v>
      </c>
      <c r="R359" t="s">
        <v>34</v>
      </c>
      <c r="S359" t="s">
        <v>361</v>
      </c>
      <c r="T359">
        <v>2021</v>
      </c>
      <c r="U359">
        <v>793</v>
      </c>
      <c r="V359">
        <v>784</v>
      </c>
      <c r="W359" t="s">
        <v>63</v>
      </c>
      <c r="X359">
        <v>2738000</v>
      </c>
      <c r="Y359">
        <v>8.4900000000000003E-2</v>
      </c>
      <c r="Z359">
        <v>28</v>
      </c>
      <c r="AA359" t="s">
        <v>37</v>
      </c>
      <c r="AB359" t="s">
        <v>38</v>
      </c>
      <c r="AC359" t="s">
        <v>54</v>
      </c>
      <c r="AD359">
        <v>19374.29</v>
      </c>
      <c r="AE359" t="b">
        <v>0</v>
      </c>
      <c r="AF359">
        <v>682720.01</v>
      </c>
    </row>
    <row r="360" spans="1:32" x14ac:dyDescent="0.3">
      <c r="A360" t="s">
        <v>843</v>
      </c>
      <c r="B360" t="s">
        <v>844</v>
      </c>
      <c r="C360" t="s">
        <v>30</v>
      </c>
      <c r="D360" t="s">
        <v>31</v>
      </c>
      <c r="E360">
        <v>761500</v>
      </c>
      <c r="F360">
        <v>72</v>
      </c>
      <c r="G360">
        <v>11</v>
      </c>
      <c r="H360">
        <v>577104.69999999995</v>
      </c>
      <c r="I360">
        <v>0</v>
      </c>
      <c r="J360">
        <v>0</v>
      </c>
      <c r="K360">
        <v>0</v>
      </c>
      <c r="L360">
        <v>1</v>
      </c>
      <c r="M360">
        <v>142117484.08000001</v>
      </c>
      <c r="N360" s="1">
        <v>45596</v>
      </c>
      <c r="O360" t="s">
        <v>32</v>
      </c>
      <c r="P360" t="s">
        <v>74</v>
      </c>
      <c r="Q360" s="1">
        <v>44977</v>
      </c>
      <c r="R360" t="s">
        <v>34</v>
      </c>
      <c r="S360" t="s">
        <v>123</v>
      </c>
      <c r="T360">
        <v>2023</v>
      </c>
      <c r="U360">
        <v>793</v>
      </c>
      <c r="V360">
        <v>815</v>
      </c>
      <c r="W360" t="s">
        <v>36</v>
      </c>
      <c r="X360">
        <v>1920000</v>
      </c>
      <c r="Y360">
        <v>9.06E-2</v>
      </c>
      <c r="Z360">
        <v>56</v>
      </c>
      <c r="AA360" t="s">
        <v>76</v>
      </c>
      <c r="AB360" t="s">
        <v>38</v>
      </c>
      <c r="AC360" t="s">
        <v>54</v>
      </c>
      <c r="AD360">
        <v>14494.45</v>
      </c>
      <c r="AE360" t="b">
        <v>0</v>
      </c>
      <c r="AF360">
        <v>973862.39</v>
      </c>
    </row>
    <row r="361" spans="1:32" x14ac:dyDescent="0.3">
      <c r="A361" t="s">
        <v>845</v>
      </c>
      <c r="B361" t="s">
        <v>846</v>
      </c>
      <c r="C361" t="s">
        <v>67</v>
      </c>
      <c r="D361" t="s">
        <v>31</v>
      </c>
      <c r="E361">
        <v>2010700</v>
      </c>
      <c r="F361">
        <v>72</v>
      </c>
      <c r="G361">
        <v>10.33</v>
      </c>
      <c r="H361">
        <v>1869928.74</v>
      </c>
      <c r="I361">
        <v>0</v>
      </c>
      <c r="J361">
        <v>0</v>
      </c>
      <c r="K361">
        <v>0</v>
      </c>
      <c r="L361">
        <v>1</v>
      </c>
      <c r="M361">
        <v>142117484.08000001</v>
      </c>
      <c r="N361" s="1">
        <v>45596</v>
      </c>
      <c r="O361" t="s">
        <v>32</v>
      </c>
      <c r="P361" t="s">
        <v>50</v>
      </c>
      <c r="Q361" s="1">
        <v>45514</v>
      </c>
      <c r="R361" t="s">
        <v>34</v>
      </c>
      <c r="S361" t="s">
        <v>35</v>
      </c>
      <c r="T361">
        <v>2024</v>
      </c>
      <c r="U361">
        <v>793</v>
      </c>
      <c r="V361">
        <v>804</v>
      </c>
      <c r="W361" t="s">
        <v>70</v>
      </c>
      <c r="X361">
        <v>790000</v>
      </c>
      <c r="Y361">
        <v>0.57089999999999996</v>
      </c>
      <c r="Z361">
        <v>23</v>
      </c>
      <c r="AA361" t="s">
        <v>108</v>
      </c>
      <c r="AB361" t="s">
        <v>38</v>
      </c>
      <c r="AC361" t="s">
        <v>39</v>
      </c>
      <c r="AD361">
        <v>37585.379999999997</v>
      </c>
      <c r="AE361" t="b">
        <v>0</v>
      </c>
      <c r="AF361">
        <v>2540353.88</v>
      </c>
    </row>
    <row r="362" spans="1:32" x14ac:dyDescent="0.3">
      <c r="A362" t="s">
        <v>847</v>
      </c>
      <c r="B362" t="s">
        <v>848</v>
      </c>
      <c r="C362" t="s">
        <v>98</v>
      </c>
      <c r="D362" t="s">
        <v>84</v>
      </c>
      <c r="E362">
        <v>294000</v>
      </c>
      <c r="F362">
        <v>84</v>
      </c>
      <c r="G362">
        <v>12.29</v>
      </c>
      <c r="H362">
        <v>191566.79</v>
      </c>
      <c r="I362">
        <v>0</v>
      </c>
      <c r="J362">
        <v>0</v>
      </c>
      <c r="K362">
        <v>10186.27</v>
      </c>
      <c r="L362">
        <v>1</v>
      </c>
      <c r="M362">
        <v>142117484.08000001</v>
      </c>
      <c r="N362" s="1">
        <v>45596</v>
      </c>
      <c r="O362" t="s">
        <v>32</v>
      </c>
      <c r="P362" t="s">
        <v>74</v>
      </c>
      <c r="Q362" s="1">
        <v>44654</v>
      </c>
      <c r="R362" t="s">
        <v>45</v>
      </c>
      <c r="S362" t="s">
        <v>107</v>
      </c>
      <c r="T362">
        <v>2017</v>
      </c>
      <c r="U362">
        <v>794</v>
      </c>
      <c r="V362">
        <v>762</v>
      </c>
      <c r="W362" t="s">
        <v>63</v>
      </c>
      <c r="X362">
        <v>1142000</v>
      </c>
      <c r="Y362">
        <v>5.5E-2</v>
      </c>
      <c r="Z362">
        <v>52</v>
      </c>
      <c r="AA362" t="s">
        <v>148</v>
      </c>
      <c r="AB362" t="s">
        <v>38</v>
      </c>
      <c r="AC362" t="s">
        <v>39</v>
      </c>
      <c r="AD362">
        <v>5235.6099999999997</v>
      </c>
      <c r="AE362" t="b">
        <v>0</v>
      </c>
      <c r="AF362">
        <v>332554.59999999998</v>
      </c>
    </row>
    <row r="363" spans="1:32" x14ac:dyDescent="0.3">
      <c r="A363" t="s">
        <v>849</v>
      </c>
      <c r="B363" t="s">
        <v>850</v>
      </c>
      <c r="C363" t="s">
        <v>67</v>
      </c>
      <c r="D363" t="s">
        <v>31</v>
      </c>
      <c r="E363">
        <v>2700500</v>
      </c>
      <c r="F363">
        <v>72</v>
      </c>
      <c r="G363">
        <v>13.37</v>
      </c>
      <c r="H363">
        <v>1814324.92</v>
      </c>
      <c r="I363">
        <v>0</v>
      </c>
      <c r="J363">
        <v>0</v>
      </c>
      <c r="K363">
        <v>0</v>
      </c>
      <c r="L363">
        <v>1</v>
      </c>
      <c r="M363">
        <v>142117484.08000001</v>
      </c>
      <c r="N363" s="1">
        <v>45596</v>
      </c>
      <c r="O363" t="s">
        <v>32</v>
      </c>
      <c r="P363" t="s">
        <v>33</v>
      </c>
      <c r="Q363" s="1">
        <v>45001</v>
      </c>
      <c r="R363" t="s">
        <v>89</v>
      </c>
      <c r="S363" t="s">
        <v>189</v>
      </c>
      <c r="T363">
        <v>2023</v>
      </c>
      <c r="U363">
        <v>794</v>
      </c>
      <c r="V363">
        <v>805</v>
      </c>
      <c r="W363" t="s">
        <v>36</v>
      </c>
      <c r="X363">
        <v>4217000</v>
      </c>
      <c r="Y363">
        <v>0.15579999999999999</v>
      </c>
      <c r="Z363">
        <v>29</v>
      </c>
      <c r="AA363" t="s">
        <v>104</v>
      </c>
      <c r="AB363" t="s">
        <v>38</v>
      </c>
      <c r="AC363" t="s">
        <v>39</v>
      </c>
      <c r="AD363">
        <v>54738.9</v>
      </c>
      <c r="AE363" t="b">
        <v>0</v>
      </c>
      <c r="AF363">
        <v>2441177.98</v>
      </c>
    </row>
    <row r="364" spans="1:32" x14ac:dyDescent="0.3">
      <c r="A364" t="s">
        <v>851</v>
      </c>
      <c r="B364" t="s">
        <v>852</v>
      </c>
      <c r="C364" t="s">
        <v>42</v>
      </c>
      <c r="D364" t="s">
        <v>31</v>
      </c>
      <c r="E364">
        <v>797900</v>
      </c>
      <c r="F364">
        <v>72</v>
      </c>
      <c r="G364">
        <v>7.61</v>
      </c>
      <c r="H364">
        <v>358874.26</v>
      </c>
      <c r="I364">
        <v>0</v>
      </c>
      <c r="J364">
        <v>0</v>
      </c>
      <c r="K364">
        <v>0</v>
      </c>
      <c r="L364">
        <v>1</v>
      </c>
      <c r="M364">
        <v>142117484.08000001</v>
      </c>
      <c r="N364" s="1">
        <v>45596</v>
      </c>
      <c r="O364" t="s">
        <v>32</v>
      </c>
      <c r="P364" t="s">
        <v>74</v>
      </c>
      <c r="Q364" s="1">
        <v>44330</v>
      </c>
      <c r="R364" t="s">
        <v>85</v>
      </c>
      <c r="S364" t="s">
        <v>440</v>
      </c>
      <c r="T364">
        <v>2021</v>
      </c>
      <c r="U364">
        <v>794</v>
      </c>
      <c r="V364">
        <v>745</v>
      </c>
      <c r="W364" t="s">
        <v>57</v>
      </c>
      <c r="X364">
        <v>1047000</v>
      </c>
      <c r="Y364">
        <v>0.15859999999999999</v>
      </c>
      <c r="Z364">
        <v>45</v>
      </c>
      <c r="AA364" t="s">
        <v>226</v>
      </c>
      <c r="AB364" t="s">
        <v>38</v>
      </c>
      <c r="AC364" t="s">
        <v>54</v>
      </c>
      <c r="AD364">
        <v>13838.32</v>
      </c>
      <c r="AE364" t="b">
        <v>0</v>
      </c>
      <c r="AF364">
        <v>446344.69</v>
      </c>
    </row>
    <row r="365" spans="1:32" x14ac:dyDescent="0.3">
      <c r="A365" t="s">
        <v>853</v>
      </c>
      <c r="B365" t="s">
        <v>854</v>
      </c>
      <c r="C365" t="s">
        <v>42</v>
      </c>
      <c r="D365" t="s">
        <v>31</v>
      </c>
      <c r="E365">
        <v>457400</v>
      </c>
      <c r="F365">
        <v>60</v>
      </c>
      <c r="G365">
        <v>7.73</v>
      </c>
      <c r="H365">
        <v>221698.04</v>
      </c>
      <c r="I365">
        <v>49</v>
      </c>
      <c r="J365">
        <v>0</v>
      </c>
      <c r="K365">
        <v>0</v>
      </c>
      <c r="L365">
        <v>2</v>
      </c>
      <c r="M365">
        <v>142117484.08000001</v>
      </c>
      <c r="N365" s="1">
        <v>45596</v>
      </c>
      <c r="O365" t="s">
        <v>116</v>
      </c>
      <c r="P365" t="s">
        <v>44</v>
      </c>
      <c r="Q365" s="1">
        <v>44731</v>
      </c>
      <c r="R365" t="s">
        <v>89</v>
      </c>
      <c r="S365" t="s">
        <v>183</v>
      </c>
      <c r="T365">
        <v>2022</v>
      </c>
      <c r="U365">
        <v>794</v>
      </c>
      <c r="V365">
        <v>801</v>
      </c>
      <c r="W365" t="s">
        <v>70</v>
      </c>
      <c r="X365">
        <v>4796000</v>
      </c>
      <c r="Y365">
        <v>2.3099999999999999E-2</v>
      </c>
      <c r="Z365">
        <v>47</v>
      </c>
      <c r="AA365" t="s">
        <v>233</v>
      </c>
      <c r="AB365" t="s">
        <v>38</v>
      </c>
      <c r="AC365" t="s">
        <v>39</v>
      </c>
      <c r="AD365">
        <v>9215.43</v>
      </c>
      <c r="AE365" t="b">
        <v>0</v>
      </c>
      <c r="AF365">
        <v>326358.09999999998</v>
      </c>
    </row>
    <row r="366" spans="1:32" x14ac:dyDescent="0.3">
      <c r="A366" t="s">
        <v>855</v>
      </c>
      <c r="B366" t="s">
        <v>856</v>
      </c>
      <c r="C366" t="s">
        <v>103</v>
      </c>
      <c r="D366" t="s">
        <v>43</v>
      </c>
      <c r="E366">
        <v>1320900</v>
      </c>
      <c r="F366">
        <v>36</v>
      </c>
      <c r="G366">
        <v>14.23</v>
      </c>
      <c r="H366">
        <v>1051348.6000000001</v>
      </c>
      <c r="I366">
        <v>0</v>
      </c>
      <c r="J366">
        <v>0</v>
      </c>
      <c r="K366">
        <v>0</v>
      </c>
      <c r="L366">
        <v>1</v>
      </c>
      <c r="M366">
        <v>142117484.08000001</v>
      </c>
      <c r="N366" s="1">
        <v>45596</v>
      </c>
      <c r="O366" t="s">
        <v>32</v>
      </c>
      <c r="P366" t="s">
        <v>50</v>
      </c>
      <c r="Q366" s="1">
        <v>45357</v>
      </c>
      <c r="R366" t="s">
        <v>68</v>
      </c>
      <c r="S366" t="s">
        <v>69</v>
      </c>
      <c r="T366">
        <v>2023</v>
      </c>
      <c r="U366">
        <v>795</v>
      </c>
      <c r="V366">
        <v>794</v>
      </c>
      <c r="W366" t="s">
        <v>57</v>
      </c>
      <c r="X366">
        <v>1866000</v>
      </c>
      <c r="Y366">
        <v>0.2913</v>
      </c>
      <c r="Z366">
        <v>47</v>
      </c>
      <c r="AA366" t="s">
        <v>108</v>
      </c>
      <c r="AB366" t="s">
        <v>38</v>
      </c>
      <c r="AC366" t="s">
        <v>81</v>
      </c>
      <c r="AD366">
        <v>45292.93</v>
      </c>
      <c r="AE366" t="b">
        <v>0</v>
      </c>
      <c r="AF366">
        <v>1792427.23</v>
      </c>
    </row>
    <row r="367" spans="1:32" x14ac:dyDescent="0.3">
      <c r="A367" t="s">
        <v>857</v>
      </c>
      <c r="B367" t="s">
        <v>858</v>
      </c>
      <c r="C367" t="s">
        <v>98</v>
      </c>
      <c r="D367" t="s">
        <v>43</v>
      </c>
      <c r="E367">
        <v>692000</v>
      </c>
      <c r="F367">
        <v>84</v>
      </c>
      <c r="G367">
        <v>13.67</v>
      </c>
      <c r="H367">
        <v>624219.17000000004</v>
      </c>
      <c r="I367">
        <v>96</v>
      </c>
      <c r="J367">
        <v>0</v>
      </c>
      <c r="K367">
        <v>0</v>
      </c>
      <c r="L367">
        <v>3</v>
      </c>
      <c r="M367">
        <v>142117484.08000001</v>
      </c>
      <c r="N367" s="1">
        <v>45596</v>
      </c>
      <c r="O367" t="s">
        <v>111</v>
      </c>
      <c r="P367" t="s">
        <v>44</v>
      </c>
      <c r="Q367" s="1">
        <v>45404</v>
      </c>
      <c r="R367" t="s">
        <v>34</v>
      </c>
      <c r="S367" t="s">
        <v>186</v>
      </c>
      <c r="T367">
        <v>2020</v>
      </c>
      <c r="U367">
        <v>796</v>
      </c>
      <c r="V367">
        <v>825</v>
      </c>
      <c r="W367" t="s">
        <v>57</v>
      </c>
      <c r="X367">
        <v>2741000</v>
      </c>
      <c r="Y367">
        <v>5.62E-2</v>
      </c>
      <c r="Z367">
        <v>47</v>
      </c>
      <c r="AA367" t="s">
        <v>91</v>
      </c>
      <c r="AB367" t="s">
        <v>38</v>
      </c>
      <c r="AC367" t="s">
        <v>54</v>
      </c>
      <c r="AD367">
        <v>12842.27</v>
      </c>
      <c r="AE367" t="b">
        <v>0</v>
      </c>
      <c r="AF367">
        <v>686128.52</v>
      </c>
    </row>
    <row r="368" spans="1:32" x14ac:dyDescent="0.3">
      <c r="A368" t="s">
        <v>859</v>
      </c>
      <c r="B368" t="s">
        <v>860</v>
      </c>
      <c r="C368" t="s">
        <v>103</v>
      </c>
      <c r="D368" t="s">
        <v>84</v>
      </c>
      <c r="E368">
        <v>476800</v>
      </c>
      <c r="F368">
        <v>60</v>
      </c>
      <c r="G368">
        <v>10.33</v>
      </c>
      <c r="H368">
        <v>278585.82</v>
      </c>
      <c r="I368">
        <v>0</v>
      </c>
      <c r="J368">
        <v>0</v>
      </c>
      <c r="K368">
        <v>0</v>
      </c>
      <c r="L368">
        <v>1</v>
      </c>
      <c r="M368">
        <v>142117484.08000001</v>
      </c>
      <c r="N368" s="1">
        <v>45596</v>
      </c>
      <c r="O368" t="s">
        <v>32</v>
      </c>
      <c r="P368" t="s">
        <v>44</v>
      </c>
      <c r="Q368" s="1">
        <v>44912</v>
      </c>
      <c r="R368" t="s">
        <v>61</v>
      </c>
      <c r="S368" t="s">
        <v>136</v>
      </c>
      <c r="T368">
        <v>2018</v>
      </c>
      <c r="U368">
        <v>796</v>
      </c>
      <c r="V368">
        <v>763</v>
      </c>
      <c r="W368" t="s">
        <v>63</v>
      </c>
      <c r="X368">
        <v>642000</v>
      </c>
      <c r="Y368">
        <v>0.1908</v>
      </c>
      <c r="Z368">
        <v>56</v>
      </c>
      <c r="AA368" t="s">
        <v>126</v>
      </c>
      <c r="AB368" t="s">
        <v>38</v>
      </c>
      <c r="AC368" t="s">
        <v>81</v>
      </c>
      <c r="AD368">
        <v>10208.18</v>
      </c>
      <c r="AE368" t="b">
        <v>0</v>
      </c>
      <c r="AF368">
        <v>396974.81</v>
      </c>
    </row>
    <row r="369" spans="1:32" x14ac:dyDescent="0.3">
      <c r="A369" t="s">
        <v>861</v>
      </c>
      <c r="B369" t="s">
        <v>862</v>
      </c>
      <c r="C369" t="s">
        <v>30</v>
      </c>
      <c r="D369" t="s">
        <v>31</v>
      </c>
      <c r="E369">
        <v>1494400</v>
      </c>
      <c r="F369">
        <v>36</v>
      </c>
      <c r="G369">
        <v>12.9</v>
      </c>
      <c r="H369">
        <v>525599.07999999996</v>
      </c>
      <c r="I369">
        <v>0</v>
      </c>
      <c r="J369">
        <v>0</v>
      </c>
      <c r="K369">
        <v>0</v>
      </c>
      <c r="L369">
        <v>1</v>
      </c>
      <c r="M369">
        <v>142117484.08000001</v>
      </c>
      <c r="N369" s="1">
        <v>45596</v>
      </c>
      <c r="O369" t="s">
        <v>32</v>
      </c>
      <c r="P369" t="s">
        <v>50</v>
      </c>
      <c r="Q369" s="1">
        <v>44907</v>
      </c>
      <c r="R369" t="s">
        <v>94</v>
      </c>
      <c r="S369" t="s">
        <v>117</v>
      </c>
      <c r="T369">
        <v>2022</v>
      </c>
      <c r="U369">
        <v>797</v>
      </c>
      <c r="V369">
        <v>827</v>
      </c>
      <c r="W369" t="s">
        <v>36</v>
      </c>
      <c r="X369">
        <v>1757000</v>
      </c>
      <c r="Y369">
        <v>0.34339999999999998</v>
      </c>
      <c r="Z369">
        <v>50</v>
      </c>
      <c r="AA369" t="s">
        <v>76</v>
      </c>
      <c r="AB369" t="s">
        <v>38</v>
      </c>
      <c r="AC369" t="s">
        <v>39</v>
      </c>
      <c r="AD369">
        <v>50280.29</v>
      </c>
      <c r="AE369" t="b">
        <v>0</v>
      </c>
      <c r="AF369">
        <v>1136426.03</v>
      </c>
    </row>
    <row r="370" spans="1:32" x14ac:dyDescent="0.3">
      <c r="A370" t="s">
        <v>863</v>
      </c>
      <c r="B370" t="s">
        <v>864</v>
      </c>
      <c r="C370" t="s">
        <v>98</v>
      </c>
      <c r="D370" t="s">
        <v>31</v>
      </c>
      <c r="E370">
        <v>1026600</v>
      </c>
      <c r="F370">
        <v>48</v>
      </c>
      <c r="G370">
        <v>11.05</v>
      </c>
      <c r="H370">
        <v>702143.39</v>
      </c>
      <c r="I370">
        <v>0</v>
      </c>
      <c r="J370">
        <v>0</v>
      </c>
      <c r="K370">
        <v>0</v>
      </c>
      <c r="L370">
        <v>1</v>
      </c>
      <c r="M370">
        <v>142117484.08000001</v>
      </c>
      <c r="N370" s="1">
        <v>45596</v>
      </c>
      <c r="O370" t="s">
        <v>32</v>
      </c>
      <c r="P370" t="s">
        <v>33</v>
      </c>
      <c r="Q370" s="1">
        <v>45211</v>
      </c>
      <c r="R370" t="s">
        <v>45</v>
      </c>
      <c r="S370" t="s">
        <v>46</v>
      </c>
      <c r="T370">
        <v>2023</v>
      </c>
      <c r="U370">
        <v>797</v>
      </c>
      <c r="V370">
        <v>771</v>
      </c>
      <c r="W370" t="s">
        <v>63</v>
      </c>
      <c r="X370">
        <v>4427000</v>
      </c>
      <c r="Y370">
        <v>7.1999999999999995E-2</v>
      </c>
      <c r="Z370">
        <v>39</v>
      </c>
      <c r="AA370" t="s">
        <v>140</v>
      </c>
      <c r="AB370" t="s">
        <v>38</v>
      </c>
      <c r="AC370" t="s">
        <v>81</v>
      </c>
      <c r="AD370">
        <v>26557.95</v>
      </c>
      <c r="AE370" t="b">
        <v>0</v>
      </c>
      <c r="AF370">
        <v>1352300.92</v>
      </c>
    </row>
    <row r="371" spans="1:32" x14ac:dyDescent="0.3">
      <c r="A371" t="s">
        <v>865</v>
      </c>
      <c r="B371" t="s">
        <v>866</v>
      </c>
      <c r="C371" t="s">
        <v>42</v>
      </c>
      <c r="D371" t="s">
        <v>31</v>
      </c>
      <c r="E371">
        <v>727400</v>
      </c>
      <c r="F371">
        <v>72</v>
      </c>
      <c r="G371">
        <v>10.96</v>
      </c>
      <c r="H371">
        <v>673132.05</v>
      </c>
      <c r="I371">
        <v>0</v>
      </c>
      <c r="J371">
        <v>0</v>
      </c>
      <c r="K371">
        <v>26701.81</v>
      </c>
      <c r="L371">
        <v>1</v>
      </c>
      <c r="M371">
        <v>142117484.08000001</v>
      </c>
      <c r="N371" s="1">
        <v>45596</v>
      </c>
      <c r="O371" t="s">
        <v>32</v>
      </c>
      <c r="P371" t="s">
        <v>50</v>
      </c>
      <c r="Q371" s="1">
        <v>45457</v>
      </c>
      <c r="R371" t="s">
        <v>68</v>
      </c>
      <c r="S371" t="s">
        <v>69</v>
      </c>
      <c r="T371">
        <v>2024</v>
      </c>
      <c r="U371">
        <v>797</v>
      </c>
      <c r="V371">
        <v>802</v>
      </c>
      <c r="W371" t="s">
        <v>63</v>
      </c>
      <c r="X371">
        <v>4328000</v>
      </c>
      <c r="Y371">
        <v>3.8300000000000001E-2</v>
      </c>
      <c r="Z371">
        <v>56</v>
      </c>
      <c r="AA371" t="s">
        <v>108</v>
      </c>
      <c r="AB371" t="s">
        <v>38</v>
      </c>
      <c r="AC371" t="s">
        <v>54</v>
      </c>
      <c r="AD371">
        <v>13830.49</v>
      </c>
      <c r="AE371" t="b">
        <v>0</v>
      </c>
      <c r="AF371">
        <v>1198139.77</v>
      </c>
    </row>
    <row r="372" spans="1:32" x14ac:dyDescent="0.3">
      <c r="A372" t="s">
        <v>867</v>
      </c>
      <c r="B372" t="s">
        <v>868</v>
      </c>
      <c r="C372" t="s">
        <v>103</v>
      </c>
      <c r="D372" t="s">
        <v>84</v>
      </c>
      <c r="E372">
        <v>932500</v>
      </c>
      <c r="F372">
        <v>72</v>
      </c>
      <c r="G372">
        <v>9.59</v>
      </c>
      <c r="H372">
        <v>798352.84</v>
      </c>
      <c r="I372">
        <v>0</v>
      </c>
      <c r="J372">
        <v>0</v>
      </c>
      <c r="K372">
        <v>0</v>
      </c>
      <c r="L372">
        <v>1</v>
      </c>
      <c r="M372">
        <v>142117484.08000001</v>
      </c>
      <c r="N372" s="1">
        <v>45596</v>
      </c>
      <c r="O372" t="s">
        <v>32</v>
      </c>
      <c r="P372" t="s">
        <v>44</v>
      </c>
      <c r="Q372" s="1">
        <v>45231</v>
      </c>
      <c r="R372" t="s">
        <v>99</v>
      </c>
      <c r="S372" t="s">
        <v>497</v>
      </c>
      <c r="T372">
        <v>2020</v>
      </c>
      <c r="U372">
        <v>798</v>
      </c>
      <c r="V372">
        <v>820</v>
      </c>
      <c r="W372" t="s">
        <v>63</v>
      </c>
      <c r="X372">
        <v>4085000</v>
      </c>
      <c r="Y372">
        <v>5.0200000000000002E-2</v>
      </c>
      <c r="Z372">
        <v>43</v>
      </c>
      <c r="AA372" t="s">
        <v>53</v>
      </c>
      <c r="AB372" t="s">
        <v>38</v>
      </c>
      <c r="AC372" t="s">
        <v>81</v>
      </c>
      <c r="AD372">
        <v>17083.169999999998</v>
      </c>
      <c r="AE372" t="b">
        <v>0</v>
      </c>
      <c r="AF372">
        <v>1202684.1499999999</v>
      </c>
    </row>
    <row r="373" spans="1:32" x14ac:dyDescent="0.3">
      <c r="A373" t="s">
        <v>869</v>
      </c>
      <c r="B373" t="s">
        <v>870</v>
      </c>
      <c r="C373" t="s">
        <v>67</v>
      </c>
      <c r="D373" t="s">
        <v>31</v>
      </c>
      <c r="E373">
        <v>1544900</v>
      </c>
      <c r="F373">
        <v>72</v>
      </c>
      <c r="G373">
        <v>7.76</v>
      </c>
      <c r="H373">
        <v>1453073.01</v>
      </c>
      <c r="I373">
        <v>0</v>
      </c>
      <c r="J373">
        <v>0</v>
      </c>
      <c r="K373">
        <v>9238.0400000000009</v>
      </c>
      <c r="L373">
        <v>1</v>
      </c>
      <c r="M373">
        <v>142117484.08000001</v>
      </c>
      <c r="N373" s="1">
        <v>45596</v>
      </c>
      <c r="O373" t="s">
        <v>32</v>
      </c>
      <c r="P373" t="s">
        <v>44</v>
      </c>
      <c r="Q373" s="1">
        <v>45550</v>
      </c>
      <c r="R373" t="s">
        <v>61</v>
      </c>
      <c r="S373" t="s">
        <v>75</v>
      </c>
      <c r="T373">
        <v>2024</v>
      </c>
      <c r="U373">
        <v>798</v>
      </c>
      <c r="V373">
        <v>758</v>
      </c>
      <c r="W373" t="s">
        <v>63</v>
      </c>
      <c r="X373">
        <v>2220000</v>
      </c>
      <c r="Y373">
        <v>0.1454</v>
      </c>
      <c r="Z373">
        <v>57</v>
      </c>
      <c r="AA373" t="s">
        <v>126</v>
      </c>
      <c r="AB373" t="s">
        <v>38</v>
      </c>
      <c r="AC373" t="s">
        <v>39</v>
      </c>
      <c r="AD373">
        <v>26906.42</v>
      </c>
      <c r="AE373" t="b">
        <v>0</v>
      </c>
      <c r="AF373">
        <v>2056758.34</v>
      </c>
    </row>
    <row r="374" spans="1:32" x14ac:dyDescent="0.3">
      <c r="A374" t="s">
        <v>871</v>
      </c>
      <c r="B374" t="s">
        <v>872</v>
      </c>
      <c r="C374" t="s">
        <v>103</v>
      </c>
      <c r="D374" t="s">
        <v>31</v>
      </c>
      <c r="E374">
        <v>1364600</v>
      </c>
      <c r="F374">
        <v>72</v>
      </c>
      <c r="G374">
        <v>10.9</v>
      </c>
      <c r="H374">
        <v>1203806.3999999999</v>
      </c>
      <c r="I374">
        <v>0</v>
      </c>
      <c r="J374">
        <v>0</v>
      </c>
      <c r="K374">
        <v>61431.71</v>
      </c>
      <c r="L374">
        <v>1</v>
      </c>
      <c r="M374">
        <v>142117484.08000001</v>
      </c>
      <c r="N374" s="1">
        <v>45596</v>
      </c>
      <c r="O374" t="s">
        <v>32</v>
      </c>
      <c r="P374" t="s">
        <v>33</v>
      </c>
      <c r="Q374" s="1">
        <v>45523</v>
      </c>
      <c r="R374" t="s">
        <v>89</v>
      </c>
      <c r="S374" t="s">
        <v>306</v>
      </c>
      <c r="T374">
        <v>2024</v>
      </c>
      <c r="U374">
        <v>798</v>
      </c>
      <c r="V374">
        <v>780</v>
      </c>
      <c r="W374" t="s">
        <v>36</v>
      </c>
      <c r="X374">
        <v>1914000</v>
      </c>
      <c r="Y374">
        <v>0.16239999999999999</v>
      </c>
      <c r="Z374">
        <v>58</v>
      </c>
      <c r="AA374" t="s">
        <v>91</v>
      </c>
      <c r="AB374" t="s">
        <v>38</v>
      </c>
      <c r="AC374" t="s">
        <v>81</v>
      </c>
      <c r="AD374">
        <v>25904.06</v>
      </c>
      <c r="AE374" t="b">
        <v>0</v>
      </c>
      <c r="AF374">
        <v>1728849.06</v>
      </c>
    </row>
    <row r="375" spans="1:32" x14ac:dyDescent="0.3">
      <c r="A375" t="s">
        <v>873</v>
      </c>
      <c r="B375" t="s">
        <v>874</v>
      </c>
      <c r="C375" t="s">
        <v>42</v>
      </c>
      <c r="D375" t="s">
        <v>84</v>
      </c>
      <c r="E375">
        <v>348700</v>
      </c>
      <c r="F375">
        <v>72</v>
      </c>
      <c r="G375">
        <v>8.34</v>
      </c>
      <c r="H375">
        <v>300330.40000000002</v>
      </c>
      <c r="I375">
        <v>82</v>
      </c>
      <c r="J375">
        <v>0</v>
      </c>
      <c r="K375">
        <v>0</v>
      </c>
      <c r="L375">
        <v>2</v>
      </c>
      <c r="M375">
        <v>142117484.08000001</v>
      </c>
      <c r="N375" s="1">
        <v>45596</v>
      </c>
      <c r="O375" t="s">
        <v>122</v>
      </c>
      <c r="P375" t="s">
        <v>50</v>
      </c>
      <c r="Q375" s="1">
        <v>45226</v>
      </c>
      <c r="R375" t="s">
        <v>94</v>
      </c>
      <c r="S375" t="s">
        <v>95</v>
      </c>
      <c r="T375">
        <v>2018</v>
      </c>
      <c r="U375">
        <v>799</v>
      </c>
      <c r="V375">
        <v>821</v>
      </c>
      <c r="W375" t="s">
        <v>57</v>
      </c>
      <c r="X375">
        <v>1490000</v>
      </c>
      <c r="Y375">
        <v>4.9700000000000001E-2</v>
      </c>
      <c r="Z375">
        <v>60</v>
      </c>
      <c r="AA375" t="s">
        <v>108</v>
      </c>
      <c r="AB375" t="s">
        <v>38</v>
      </c>
      <c r="AC375" t="s">
        <v>39</v>
      </c>
      <c r="AD375">
        <v>6171.89</v>
      </c>
      <c r="AE375" t="b">
        <v>0</v>
      </c>
      <c r="AF375">
        <v>514953.01</v>
      </c>
    </row>
    <row r="376" spans="1:32" x14ac:dyDescent="0.3">
      <c r="A376" t="s">
        <v>875</v>
      </c>
      <c r="B376" t="s">
        <v>876</v>
      </c>
      <c r="C376" t="s">
        <v>67</v>
      </c>
      <c r="D376" t="s">
        <v>84</v>
      </c>
      <c r="E376">
        <v>648600</v>
      </c>
      <c r="F376">
        <v>48</v>
      </c>
      <c r="G376">
        <v>8.8000000000000007</v>
      </c>
      <c r="H376">
        <v>543272.06000000006</v>
      </c>
      <c r="I376">
        <v>0</v>
      </c>
      <c r="J376">
        <v>0</v>
      </c>
      <c r="K376">
        <v>36887.51</v>
      </c>
      <c r="L376">
        <v>1</v>
      </c>
      <c r="M376">
        <v>142117484.08000001</v>
      </c>
      <c r="N376" s="1">
        <v>45596</v>
      </c>
      <c r="O376" t="s">
        <v>32</v>
      </c>
      <c r="P376" t="s">
        <v>33</v>
      </c>
      <c r="Q376" s="1">
        <v>45406</v>
      </c>
      <c r="R376" t="s">
        <v>85</v>
      </c>
      <c r="S376" t="s">
        <v>86</v>
      </c>
      <c r="T376">
        <v>2021</v>
      </c>
      <c r="U376">
        <v>799</v>
      </c>
      <c r="V376">
        <v>787</v>
      </c>
      <c r="W376" t="s">
        <v>57</v>
      </c>
      <c r="X376">
        <v>1185000</v>
      </c>
      <c r="Y376">
        <v>0.1628</v>
      </c>
      <c r="Z376">
        <v>53</v>
      </c>
      <c r="AA376" t="s">
        <v>37</v>
      </c>
      <c r="AB376" t="s">
        <v>38</v>
      </c>
      <c r="AC376" t="s">
        <v>81</v>
      </c>
      <c r="AD376">
        <v>16078.91</v>
      </c>
      <c r="AE376" t="b">
        <v>0</v>
      </c>
      <c r="AF376">
        <v>765753.2</v>
      </c>
    </row>
    <row r="377" spans="1:32" x14ac:dyDescent="0.3">
      <c r="A377" t="s">
        <v>877</v>
      </c>
      <c r="B377" t="s">
        <v>878</v>
      </c>
      <c r="C377" t="s">
        <v>98</v>
      </c>
      <c r="D377" t="s">
        <v>31</v>
      </c>
      <c r="E377">
        <v>1092100</v>
      </c>
      <c r="F377">
        <v>60</v>
      </c>
      <c r="G377">
        <v>9.1999999999999993</v>
      </c>
      <c r="H377">
        <v>752638.67</v>
      </c>
      <c r="I377">
        <v>0</v>
      </c>
      <c r="J377">
        <v>0</v>
      </c>
      <c r="K377">
        <v>0</v>
      </c>
      <c r="L377">
        <v>1</v>
      </c>
      <c r="M377">
        <v>142117484.08000001</v>
      </c>
      <c r="N377" s="1">
        <v>45596</v>
      </c>
      <c r="O377" t="s">
        <v>32</v>
      </c>
      <c r="P377" t="s">
        <v>50</v>
      </c>
      <c r="Q377" s="1">
        <v>45128</v>
      </c>
      <c r="R377" t="s">
        <v>99</v>
      </c>
      <c r="S377" t="s">
        <v>497</v>
      </c>
      <c r="T377">
        <v>2023</v>
      </c>
      <c r="U377">
        <v>800</v>
      </c>
      <c r="V377">
        <v>777</v>
      </c>
      <c r="W377" t="s">
        <v>57</v>
      </c>
      <c r="X377">
        <v>1841000</v>
      </c>
      <c r="Y377">
        <v>0.14849999999999999</v>
      </c>
      <c r="Z377">
        <v>36</v>
      </c>
      <c r="AA377" t="s">
        <v>71</v>
      </c>
      <c r="AB377" t="s">
        <v>38</v>
      </c>
      <c r="AC377" t="s">
        <v>39</v>
      </c>
      <c r="AD377">
        <v>22776.35</v>
      </c>
      <c r="AE377" t="b">
        <v>0</v>
      </c>
      <c r="AF377">
        <v>1319977.2</v>
      </c>
    </row>
    <row r="378" spans="1:32" x14ac:dyDescent="0.3">
      <c r="A378" t="s">
        <v>879</v>
      </c>
      <c r="B378" t="s">
        <v>880</v>
      </c>
      <c r="C378" t="s">
        <v>103</v>
      </c>
      <c r="D378" t="s">
        <v>31</v>
      </c>
      <c r="E378">
        <v>1319400</v>
      </c>
      <c r="F378">
        <v>72</v>
      </c>
      <c r="G378">
        <v>13.75</v>
      </c>
      <c r="H378">
        <v>825671.85</v>
      </c>
      <c r="I378">
        <v>104</v>
      </c>
      <c r="J378">
        <v>0</v>
      </c>
      <c r="K378">
        <v>0</v>
      </c>
      <c r="L378">
        <v>3</v>
      </c>
      <c r="M378">
        <v>142117484.08000001</v>
      </c>
      <c r="N378" s="1">
        <v>45596</v>
      </c>
      <c r="O378" t="s">
        <v>111</v>
      </c>
      <c r="P378" t="s">
        <v>74</v>
      </c>
      <c r="Q378" s="1">
        <v>44863</v>
      </c>
      <c r="R378" t="s">
        <v>89</v>
      </c>
      <c r="S378" t="s">
        <v>306</v>
      </c>
      <c r="T378">
        <v>2022</v>
      </c>
      <c r="U378">
        <v>800</v>
      </c>
      <c r="V378">
        <v>780</v>
      </c>
      <c r="W378" t="s">
        <v>57</v>
      </c>
      <c r="X378">
        <v>2356000</v>
      </c>
      <c r="Y378">
        <v>0.1376</v>
      </c>
      <c r="Z378">
        <v>31</v>
      </c>
      <c r="AA378" t="s">
        <v>37</v>
      </c>
      <c r="AB378" t="s">
        <v>38</v>
      </c>
      <c r="AC378" t="s">
        <v>39</v>
      </c>
      <c r="AD378">
        <v>27010.9</v>
      </c>
      <c r="AE378" t="b">
        <v>0</v>
      </c>
      <c r="AF378">
        <v>1305082.49</v>
      </c>
    </row>
    <row r="379" spans="1:32" x14ac:dyDescent="0.3">
      <c r="A379" t="s">
        <v>881</v>
      </c>
      <c r="B379" t="s">
        <v>882</v>
      </c>
      <c r="C379" t="s">
        <v>98</v>
      </c>
      <c r="D379" t="s">
        <v>31</v>
      </c>
      <c r="E379">
        <v>723500</v>
      </c>
      <c r="F379">
        <v>84</v>
      </c>
      <c r="G379">
        <v>11.65</v>
      </c>
      <c r="H379">
        <v>413877.58</v>
      </c>
      <c r="I379">
        <v>0</v>
      </c>
      <c r="J379">
        <v>0</v>
      </c>
      <c r="K379">
        <v>0</v>
      </c>
      <c r="L379">
        <v>1</v>
      </c>
      <c r="M379">
        <v>142117484.08000001</v>
      </c>
      <c r="N379" s="1">
        <v>45596</v>
      </c>
      <c r="O379" t="s">
        <v>32</v>
      </c>
      <c r="P379" t="s">
        <v>74</v>
      </c>
      <c r="Q379" s="1">
        <v>44472</v>
      </c>
      <c r="R379" t="s">
        <v>89</v>
      </c>
      <c r="S379" t="s">
        <v>183</v>
      </c>
      <c r="T379">
        <v>2021</v>
      </c>
      <c r="U379">
        <v>800</v>
      </c>
      <c r="V379">
        <v>785</v>
      </c>
      <c r="W379" t="s">
        <v>36</v>
      </c>
      <c r="X379">
        <v>2838000</v>
      </c>
      <c r="Y379">
        <v>5.3400000000000003E-2</v>
      </c>
      <c r="Z379">
        <v>49</v>
      </c>
      <c r="AA379" t="s">
        <v>64</v>
      </c>
      <c r="AB379" t="s">
        <v>38</v>
      </c>
      <c r="AC379" t="s">
        <v>81</v>
      </c>
      <c r="AD379">
        <v>12636.73</v>
      </c>
      <c r="AE379" t="b">
        <v>0</v>
      </c>
      <c r="AF379">
        <v>443606.39</v>
      </c>
    </row>
    <row r="380" spans="1:32" x14ac:dyDescent="0.3">
      <c r="A380" t="s">
        <v>883</v>
      </c>
      <c r="B380" t="s">
        <v>884</v>
      </c>
      <c r="C380" t="s">
        <v>98</v>
      </c>
      <c r="D380" t="s">
        <v>31</v>
      </c>
      <c r="E380">
        <v>659500</v>
      </c>
      <c r="F380">
        <v>60</v>
      </c>
      <c r="G380">
        <v>8.25</v>
      </c>
      <c r="H380">
        <v>475801.87</v>
      </c>
      <c r="I380">
        <v>0</v>
      </c>
      <c r="J380">
        <v>0</v>
      </c>
      <c r="K380">
        <v>0</v>
      </c>
      <c r="L380">
        <v>1</v>
      </c>
      <c r="M380">
        <v>142117484.08000001</v>
      </c>
      <c r="N380" s="1">
        <v>45596</v>
      </c>
      <c r="O380" t="s">
        <v>32</v>
      </c>
      <c r="P380" t="s">
        <v>50</v>
      </c>
      <c r="Q380" s="1">
        <v>45149</v>
      </c>
      <c r="R380" t="s">
        <v>89</v>
      </c>
      <c r="S380" t="s">
        <v>189</v>
      </c>
      <c r="T380">
        <v>2023</v>
      </c>
      <c r="U380">
        <v>800</v>
      </c>
      <c r="V380">
        <v>766</v>
      </c>
      <c r="W380" t="s">
        <v>70</v>
      </c>
      <c r="X380">
        <v>1638000</v>
      </c>
      <c r="Y380">
        <v>9.8500000000000004E-2</v>
      </c>
      <c r="Z380">
        <v>35</v>
      </c>
      <c r="AA380" t="s">
        <v>104</v>
      </c>
      <c r="AB380" t="s">
        <v>38</v>
      </c>
      <c r="AC380" t="s">
        <v>81</v>
      </c>
      <c r="AD380">
        <v>13451.33</v>
      </c>
      <c r="AE380" t="b">
        <v>0</v>
      </c>
      <c r="AF380">
        <v>700771.03</v>
      </c>
    </row>
    <row r="381" spans="1:32" x14ac:dyDescent="0.3">
      <c r="A381" t="s">
        <v>885</v>
      </c>
      <c r="B381" t="s">
        <v>886</v>
      </c>
      <c r="C381" t="s">
        <v>98</v>
      </c>
      <c r="D381" t="s">
        <v>31</v>
      </c>
      <c r="E381">
        <v>1460200</v>
      </c>
      <c r="F381">
        <v>84</v>
      </c>
      <c r="G381">
        <v>8.8800000000000008</v>
      </c>
      <c r="H381">
        <v>1460200</v>
      </c>
      <c r="I381">
        <v>421</v>
      </c>
      <c r="J381">
        <v>213710.12</v>
      </c>
      <c r="K381">
        <v>16112.06</v>
      </c>
      <c r="L381">
        <v>3</v>
      </c>
      <c r="M381">
        <v>142117484.08000001</v>
      </c>
      <c r="N381" s="1">
        <v>45596</v>
      </c>
      <c r="O381" t="s">
        <v>368</v>
      </c>
      <c r="P381" t="s">
        <v>44</v>
      </c>
      <c r="Q381" s="1">
        <v>45545</v>
      </c>
      <c r="R381" t="s">
        <v>94</v>
      </c>
      <c r="S381" t="s">
        <v>117</v>
      </c>
      <c r="T381">
        <v>2024</v>
      </c>
      <c r="U381">
        <v>801</v>
      </c>
      <c r="V381">
        <v>821</v>
      </c>
      <c r="W381" t="s">
        <v>70</v>
      </c>
      <c r="X381">
        <v>4831000</v>
      </c>
      <c r="Y381">
        <v>5.8099999999999999E-2</v>
      </c>
      <c r="Z381">
        <v>24</v>
      </c>
      <c r="AA381" t="s">
        <v>126</v>
      </c>
      <c r="AB381" t="s">
        <v>38</v>
      </c>
      <c r="AC381" t="s">
        <v>81</v>
      </c>
      <c r="AD381">
        <v>23404.44</v>
      </c>
      <c r="AE381" t="b">
        <v>0</v>
      </c>
      <c r="AF381">
        <v>1595853.77</v>
      </c>
    </row>
    <row r="382" spans="1:32" x14ac:dyDescent="0.3">
      <c r="A382" t="s">
        <v>887</v>
      </c>
      <c r="B382" t="s">
        <v>888</v>
      </c>
      <c r="C382" t="s">
        <v>42</v>
      </c>
      <c r="D382" t="s">
        <v>31</v>
      </c>
      <c r="E382">
        <v>332900</v>
      </c>
      <c r="F382">
        <v>84</v>
      </c>
      <c r="G382">
        <v>14.34</v>
      </c>
      <c r="H382">
        <v>260490.14</v>
      </c>
      <c r="I382">
        <v>24</v>
      </c>
      <c r="J382">
        <v>0</v>
      </c>
      <c r="K382">
        <v>0</v>
      </c>
      <c r="L382">
        <v>1</v>
      </c>
      <c r="M382">
        <v>142117484.08000001</v>
      </c>
      <c r="N382" s="1">
        <v>45596</v>
      </c>
      <c r="O382" t="s">
        <v>139</v>
      </c>
      <c r="P382" t="s">
        <v>33</v>
      </c>
      <c r="Q382" s="1">
        <v>45008</v>
      </c>
      <c r="R382" t="s">
        <v>68</v>
      </c>
      <c r="S382" t="s">
        <v>205</v>
      </c>
      <c r="T382">
        <v>2023</v>
      </c>
      <c r="U382">
        <v>802</v>
      </c>
      <c r="V382">
        <v>803</v>
      </c>
      <c r="W382" t="s">
        <v>36</v>
      </c>
      <c r="X382">
        <v>2090000</v>
      </c>
      <c r="Y382">
        <v>3.6200000000000003E-2</v>
      </c>
      <c r="Z382">
        <v>27</v>
      </c>
      <c r="AA382" t="s">
        <v>64</v>
      </c>
      <c r="AB382" t="s">
        <v>38</v>
      </c>
      <c r="AC382" t="s">
        <v>54</v>
      </c>
      <c r="AD382">
        <v>6301.24</v>
      </c>
      <c r="AE382" t="b">
        <v>0</v>
      </c>
      <c r="AF382">
        <v>321863.43</v>
      </c>
    </row>
    <row r="383" spans="1:32" x14ac:dyDescent="0.3">
      <c r="A383" t="s">
        <v>889</v>
      </c>
      <c r="B383" t="s">
        <v>890</v>
      </c>
      <c r="C383" t="s">
        <v>30</v>
      </c>
      <c r="D383" t="s">
        <v>43</v>
      </c>
      <c r="E383">
        <v>897400</v>
      </c>
      <c r="F383">
        <v>60</v>
      </c>
      <c r="G383">
        <v>10.71</v>
      </c>
      <c r="H383">
        <v>458805.04</v>
      </c>
      <c r="I383">
        <v>0</v>
      </c>
      <c r="J383">
        <v>0</v>
      </c>
      <c r="K383">
        <v>0</v>
      </c>
      <c r="L383">
        <v>1</v>
      </c>
      <c r="M383">
        <v>142117484.08000001</v>
      </c>
      <c r="N383" s="1">
        <v>45596</v>
      </c>
      <c r="O383" t="s">
        <v>32</v>
      </c>
      <c r="P383" t="s">
        <v>74</v>
      </c>
      <c r="Q383" s="1">
        <v>44713</v>
      </c>
      <c r="R383" t="s">
        <v>34</v>
      </c>
      <c r="S383" t="s">
        <v>186</v>
      </c>
      <c r="T383">
        <v>2021</v>
      </c>
      <c r="U383">
        <v>802</v>
      </c>
      <c r="V383">
        <v>788</v>
      </c>
      <c r="W383" t="s">
        <v>70</v>
      </c>
      <c r="X383">
        <v>2557000</v>
      </c>
      <c r="Y383">
        <v>9.0999999999999998E-2</v>
      </c>
      <c r="Z383">
        <v>34</v>
      </c>
      <c r="AA383" t="s">
        <v>91</v>
      </c>
      <c r="AB383" t="s">
        <v>38</v>
      </c>
      <c r="AC383" t="s">
        <v>39</v>
      </c>
      <c r="AD383">
        <v>19382.11</v>
      </c>
      <c r="AE383" t="b">
        <v>0</v>
      </c>
      <c r="AF383">
        <v>929316.48</v>
      </c>
    </row>
    <row r="384" spans="1:32" x14ac:dyDescent="0.3">
      <c r="A384" t="s">
        <v>891</v>
      </c>
      <c r="B384" t="s">
        <v>892</v>
      </c>
      <c r="C384" t="s">
        <v>67</v>
      </c>
      <c r="D384" t="s">
        <v>31</v>
      </c>
      <c r="E384">
        <v>1076600</v>
      </c>
      <c r="F384">
        <v>36</v>
      </c>
      <c r="G384">
        <v>7.62</v>
      </c>
      <c r="H384">
        <v>750535.98</v>
      </c>
      <c r="I384">
        <v>0</v>
      </c>
      <c r="J384">
        <v>0</v>
      </c>
      <c r="K384">
        <v>0</v>
      </c>
      <c r="L384">
        <v>1</v>
      </c>
      <c r="M384">
        <v>142117484.08000001</v>
      </c>
      <c r="N384" s="1">
        <v>45596</v>
      </c>
      <c r="O384" t="s">
        <v>32</v>
      </c>
      <c r="P384" t="s">
        <v>74</v>
      </c>
      <c r="Q384" s="1">
        <v>45283</v>
      </c>
      <c r="R384" t="s">
        <v>51</v>
      </c>
      <c r="S384" t="s">
        <v>52</v>
      </c>
      <c r="T384">
        <v>2023</v>
      </c>
      <c r="U384">
        <v>802</v>
      </c>
      <c r="V384">
        <v>784</v>
      </c>
      <c r="W384" t="s">
        <v>36</v>
      </c>
      <c r="X384">
        <v>3695000</v>
      </c>
      <c r="Y384">
        <v>0.109</v>
      </c>
      <c r="Z384">
        <v>56</v>
      </c>
      <c r="AA384" t="s">
        <v>162</v>
      </c>
      <c r="AB384" t="s">
        <v>38</v>
      </c>
      <c r="AC384" t="s">
        <v>81</v>
      </c>
      <c r="AD384">
        <v>33548.32</v>
      </c>
      <c r="AE384" t="b">
        <v>0</v>
      </c>
      <c r="AF384">
        <v>1164017.3700000001</v>
      </c>
    </row>
    <row r="385" spans="1:32" x14ac:dyDescent="0.3">
      <c r="A385" t="s">
        <v>893</v>
      </c>
      <c r="B385" t="s">
        <v>894</v>
      </c>
      <c r="C385" t="s">
        <v>103</v>
      </c>
      <c r="D385" t="s">
        <v>43</v>
      </c>
      <c r="E385">
        <v>1659400</v>
      </c>
      <c r="F385">
        <v>36</v>
      </c>
      <c r="G385">
        <v>10.78</v>
      </c>
      <c r="H385">
        <v>43587.54</v>
      </c>
      <c r="I385">
        <v>0</v>
      </c>
      <c r="J385">
        <v>0</v>
      </c>
      <c r="K385">
        <v>0</v>
      </c>
      <c r="L385">
        <v>1</v>
      </c>
      <c r="M385">
        <v>142117484.08000001</v>
      </c>
      <c r="N385" s="1">
        <v>45596</v>
      </c>
      <c r="O385" t="s">
        <v>32</v>
      </c>
      <c r="P385" t="s">
        <v>74</v>
      </c>
      <c r="Q385" s="1">
        <v>44502</v>
      </c>
      <c r="R385" t="s">
        <v>51</v>
      </c>
      <c r="S385" t="s">
        <v>79</v>
      </c>
      <c r="T385">
        <v>2019</v>
      </c>
      <c r="U385">
        <v>803</v>
      </c>
      <c r="V385">
        <v>758</v>
      </c>
      <c r="W385" t="s">
        <v>70</v>
      </c>
      <c r="X385">
        <v>2357000</v>
      </c>
      <c r="Y385">
        <v>0.2757</v>
      </c>
      <c r="Z385">
        <v>41</v>
      </c>
      <c r="AA385" t="s">
        <v>148</v>
      </c>
      <c r="AB385" t="s">
        <v>38</v>
      </c>
      <c r="AC385" t="s">
        <v>54</v>
      </c>
      <c r="AD385">
        <v>54153.91</v>
      </c>
      <c r="AE385" t="b">
        <v>0</v>
      </c>
      <c r="AF385">
        <v>1071547.4099999999</v>
      </c>
    </row>
    <row r="386" spans="1:32" x14ac:dyDescent="0.3">
      <c r="A386" t="s">
        <v>895</v>
      </c>
      <c r="B386" t="s">
        <v>896</v>
      </c>
      <c r="C386" t="s">
        <v>103</v>
      </c>
      <c r="D386" t="s">
        <v>31</v>
      </c>
      <c r="E386">
        <v>2966800</v>
      </c>
      <c r="F386">
        <v>60</v>
      </c>
      <c r="G386">
        <v>14.36</v>
      </c>
      <c r="H386">
        <v>2189062.13</v>
      </c>
      <c r="I386">
        <v>0</v>
      </c>
      <c r="J386">
        <v>0</v>
      </c>
      <c r="K386">
        <v>0</v>
      </c>
      <c r="L386">
        <v>1</v>
      </c>
      <c r="M386">
        <v>142117484.08000001</v>
      </c>
      <c r="N386" s="1">
        <v>45596</v>
      </c>
      <c r="O386" t="s">
        <v>32</v>
      </c>
      <c r="P386" t="s">
        <v>33</v>
      </c>
      <c r="Q386" s="1">
        <v>45081</v>
      </c>
      <c r="R386" t="s">
        <v>34</v>
      </c>
      <c r="S386" t="s">
        <v>186</v>
      </c>
      <c r="T386">
        <v>2023</v>
      </c>
      <c r="U386">
        <v>803</v>
      </c>
      <c r="V386">
        <v>795</v>
      </c>
      <c r="W386" t="s">
        <v>36</v>
      </c>
      <c r="X386">
        <v>2623000</v>
      </c>
      <c r="Y386">
        <v>0.31840000000000002</v>
      </c>
      <c r="Z386">
        <v>38</v>
      </c>
      <c r="AA386" t="s">
        <v>64</v>
      </c>
      <c r="AB386" t="s">
        <v>38</v>
      </c>
      <c r="AC386" t="s">
        <v>54</v>
      </c>
      <c r="AD386">
        <v>69587.210000000006</v>
      </c>
      <c r="AE386" t="b">
        <v>0</v>
      </c>
      <c r="AF386">
        <v>2663805.9500000002</v>
      </c>
    </row>
    <row r="387" spans="1:32" x14ac:dyDescent="0.3">
      <c r="A387" t="s">
        <v>897</v>
      </c>
      <c r="B387" t="s">
        <v>898</v>
      </c>
      <c r="C387" t="s">
        <v>67</v>
      </c>
      <c r="D387" t="s">
        <v>31</v>
      </c>
      <c r="E387">
        <v>818700</v>
      </c>
      <c r="F387">
        <v>84</v>
      </c>
      <c r="G387">
        <v>7.87</v>
      </c>
      <c r="H387">
        <v>680975.94</v>
      </c>
      <c r="I387">
        <v>0</v>
      </c>
      <c r="J387">
        <v>0</v>
      </c>
      <c r="K387">
        <v>0</v>
      </c>
      <c r="L387">
        <v>1</v>
      </c>
      <c r="M387">
        <v>142117484.08000001</v>
      </c>
      <c r="N387" s="1">
        <v>45596</v>
      </c>
      <c r="O387" t="s">
        <v>32</v>
      </c>
      <c r="P387" t="s">
        <v>50</v>
      </c>
      <c r="Q387" s="1">
        <v>45102</v>
      </c>
      <c r="R387" t="s">
        <v>171</v>
      </c>
      <c r="S387" t="s">
        <v>325</v>
      </c>
      <c r="T387">
        <v>2023</v>
      </c>
      <c r="U387">
        <v>803</v>
      </c>
      <c r="V387">
        <v>832</v>
      </c>
      <c r="W387" t="s">
        <v>70</v>
      </c>
      <c r="X387">
        <v>1396000</v>
      </c>
      <c r="Y387">
        <v>0.10920000000000001</v>
      </c>
      <c r="Z387">
        <v>29</v>
      </c>
      <c r="AA387" t="s">
        <v>76</v>
      </c>
      <c r="AB387" t="s">
        <v>38</v>
      </c>
      <c r="AC387" t="s">
        <v>54</v>
      </c>
      <c r="AD387">
        <v>12707.47</v>
      </c>
      <c r="AE387" t="b">
        <v>0</v>
      </c>
      <c r="AF387">
        <v>854132.57</v>
      </c>
    </row>
    <row r="388" spans="1:32" x14ac:dyDescent="0.3">
      <c r="A388" t="s">
        <v>899</v>
      </c>
      <c r="B388" t="s">
        <v>900</v>
      </c>
      <c r="C388" t="s">
        <v>67</v>
      </c>
      <c r="D388" t="s">
        <v>31</v>
      </c>
      <c r="E388">
        <v>1960500</v>
      </c>
      <c r="F388">
        <v>36</v>
      </c>
      <c r="G388">
        <v>9.7899999999999991</v>
      </c>
      <c r="H388">
        <v>1453102.25</v>
      </c>
      <c r="I388">
        <v>135</v>
      </c>
      <c r="J388">
        <v>0</v>
      </c>
      <c r="K388">
        <v>0</v>
      </c>
      <c r="L388">
        <v>3</v>
      </c>
      <c r="M388">
        <v>142117484.08000001</v>
      </c>
      <c r="N388" s="1">
        <v>45596</v>
      </c>
      <c r="O388" t="s">
        <v>129</v>
      </c>
      <c r="P388" t="s">
        <v>50</v>
      </c>
      <c r="Q388" s="1">
        <v>45322</v>
      </c>
      <c r="R388" t="s">
        <v>68</v>
      </c>
      <c r="S388" t="s">
        <v>69</v>
      </c>
      <c r="T388">
        <v>2024</v>
      </c>
      <c r="U388">
        <v>803</v>
      </c>
      <c r="V388">
        <v>776</v>
      </c>
      <c r="W388" t="s">
        <v>57</v>
      </c>
      <c r="X388">
        <v>750000</v>
      </c>
      <c r="Y388">
        <v>1.0091000000000001</v>
      </c>
      <c r="Z388">
        <v>25</v>
      </c>
      <c r="AA388" t="s">
        <v>76</v>
      </c>
      <c r="AB388" t="s">
        <v>38</v>
      </c>
      <c r="AC388" t="s">
        <v>54</v>
      </c>
      <c r="AD388">
        <v>63066.7</v>
      </c>
      <c r="AE388" t="b">
        <v>0</v>
      </c>
      <c r="AF388">
        <v>2277140.33</v>
      </c>
    </row>
    <row r="389" spans="1:32" x14ac:dyDescent="0.3">
      <c r="A389" t="s">
        <v>901</v>
      </c>
      <c r="B389" t="s">
        <v>902</v>
      </c>
      <c r="C389" t="s">
        <v>30</v>
      </c>
      <c r="D389" t="s">
        <v>31</v>
      </c>
      <c r="E389">
        <v>782300</v>
      </c>
      <c r="F389">
        <v>84</v>
      </c>
      <c r="G389">
        <v>8.11</v>
      </c>
      <c r="H389">
        <v>735638.03</v>
      </c>
      <c r="I389">
        <v>0</v>
      </c>
      <c r="J389">
        <v>0</v>
      </c>
      <c r="K389">
        <v>0</v>
      </c>
      <c r="L389">
        <v>1</v>
      </c>
      <c r="M389">
        <v>142117484.08000001</v>
      </c>
      <c r="N389" s="1">
        <v>45596</v>
      </c>
      <c r="O389" t="s">
        <v>32</v>
      </c>
      <c r="P389" t="s">
        <v>44</v>
      </c>
      <c r="Q389" s="1">
        <v>45506</v>
      </c>
      <c r="R389" t="s">
        <v>99</v>
      </c>
      <c r="S389" t="s">
        <v>100</v>
      </c>
      <c r="T389">
        <v>2024</v>
      </c>
      <c r="U389">
        <v>804</v>
      </c>
      <c r="V389">
        <v>757</v>
      </c>
      <c r="W389" t="s">
        <v>63</v>
      </c>
      <c r="X389">
        <v>1394000</v>
      </c>
      <c r="Y389">
        <v>0.1053</v>
      </c>
      <c r="Z389">
        <v>27</v>
      </c>
      <c r="AA389" t="s">
        <v>53</v>
      </c>
      <c r="AB389" t="s">
        <v>38</v>
      </c>
      <c r="AC389" t="s">
        <v>39</v>
      </c>
      <c r="AD389">
        <v>12236.01</v>
      </c>
      <c r="AE389" t="b">
        <v>0</v>
      </c>
      <c r="AF389">
        <v>951973.78</v>
      </c>
    </row>
    <row r="390" spans="1:32" x14ac:dyDescent="0.3">
      <c r="A390" t="s">
        <v>903</v>
      </c>
      <c r="B390" t="s">
        <v>904</v>
      </c>
      <c r="C390" t="s">
        <v>30</v>
      </c>
      <c r="D390" t="s">
        <v>31</v>
      </c>
      <c r="E390">
        <v>1142100</v>
      </c>
      <c r="F390">
        <v>48</v>
      </c>
      <c r="G390">
        <v>9.7899999999999991</v>
      </c>
      <c r="H390">
        <v>625619.43999999994</v>
      </c>
      <c r="I390">
        <v>0</v>
      </c>
      <c r="J390">
        <v>0</v>
      </c>
      <c r="K390">
        <v>0</v>
      </c>
      <c r="L390">
        <v>1</v>
      </c>
      <c r="M390">
        <v>142117484.08000001</v>
      </c>
      <c r="N390" s="1">
        <v>45596</v>
      </c>
      <c r="O390" t="s">
        <v>32</v>
      </c>
      <c r="P390" t="s">
        <v>74</v>
      </c>
      <c r="Q390" s="1">
        <v>44963</v>
      </c>
      <c r="R390" t="s">
        <v>94</v>
      </c>
      <c r="S390" t="s">
        <v>117</v>
      </c>
      <c r="T390">
        <v>2023</v>
      </c>
      <c r="U390">
        <v>804</v>
      </c>
      <c r="V390">
        <v>819</v>
      </c>
      <c r="W390" t="s">
        <v>70</v>
      </c>
      <c r="X390">
        <v>435000</v>
      </c>
      <c r="Y390">
        <v>0.79590000000000005</v>
      </c>
      <c r="Z390">
        <v>41</v>
      </c>
      <c r="AA390" t="s">
        <v>80</v>
      </c>
      <c r="AB390" t="s">
        <v>38</v>
      </c>
      <c r="AC390" t="s">
        <v>54</v>
      </c>
      <c r="AD390">
        <v>28851.56</v>
      </c>
      <c r="AE390" t="b">
        <v>0</v>
      </c>
      <c r="AF390">
        <v>1275386.0900000001</v>
      </c>
    </row>
    <row r="391" spans="1:32" x14ac:dyDescent="0.3">
      <c r="A391" t="s">
        <v>905</v>
      </c>
      <c r="B391" t="s">
        <v>906</v>
      </c>
      <c r="C391" t="s">
        <v>30</v>
      </c>
      <c r="D391" t="s">
        <v>31</v>
      </c>
      <c r="E391">
        <v>1046700</v>
      </c>
      <c r="F391">
        <v>72</v>
      </c>
      <c r="G391">
        <v>12.1</v>
      </c>
      <c r="H391">
        <v>849928</v>
      </c>
      <c r="I391">
        <v>155</v>
      </c>
      <c r="J391">
        <v>0</v>
      </c>
      <c r="K391">
        <v>0</v>
      </c>
      <c r="L391">
        <v>3</v>
      </c>
      <c r="M391">
        <v>142117484.08000001</v>
      </c>
      <c r="N391" s="1">
        <v>45596</v>
      </c>
      <c r="O391" t="s">
        <v>260</v>
      </c>
      <c r="P391" t="s">
        <v>44</v>
      </c>
      <c r="Q391" s="1">
        <v>45186</v>
      </c>
      <c r="R391" t="s">
        <v>94</v>
      </c>
      <c r="S391" t="s">
        <v>95</v>
      </c>
      <c r="T391">
        <v>2023</v>
      </c>
      <c r="U391">
        <v>805</v>
      </c>
      <c r="V391">
        <v>786</v>
      </c>
      <c r="W391" t="s">
        <v>70</v>
      </c>
      <c r="X391">
        <v>2268000</v>
      </c>
      <c r="Y391">
        <v>0.1086</v>
      </c>
      <c r="Z391">
        <v>55</v>
      </c>
      <c r="AA391" t="s">
        <v>233</v>
      </c>
      <c r="AB391" t="s">
        <v>38</v>
      </c>
      <c r="AC391" t="s">
        <v>54</v>
      </c>
      <c r="AD391">
        <v>20517.66</v>
      </c>
      <c r="AE391" t="b">
        <v>0</v>
      </c>
      <c r="AF391">
        <v>1370878.66</v>
      </c>
    </row>
    <row r="392" spans="1:32" x14ac:dyDescent="0.3">
      <c r="A392" t="s">
        <v>907</v>
      </c>
      <c r="B392" t="s">
        <v>908</v>
      </c>
      <c r="C392" t="s">
        <v>98</v>
      </c>
      <c r="D392" t="s">
        <v>31</v>
      </c>
      <c r="E392">
        <v>958000</v>
      </c>
      <c r="F392">
        <v>60</v>
      </c>
      <c r="G392">
        <v>8.01</v>
      </c>
      <c r="H392">
        <v>654263.06000000006</v>
      </c>
      <c r="I392">
        <v>0</v>
      </c>
      <c r="J392">
        <v>0</v>
      </c>
      <c r="K392">
        <v>0</v>
      </c>
      <c r="L392">
        <v>1</v>
      </c>
      <c r="M392">
        <v>142117484.08000001</v>
      </c>
      <c r="N392" s="1">
        <v>45596</v>
      </c>
      <c r="O392" t="s">
        <v>32</v>
      </c>
      <c r="P392" t="s">
        <v>50</v>
      </c>
      <c r="Q392" s="1">
        <v>45022</v>
      </c>
      <c r="R392" t="s">
        <v>61</v>
      </c>
      <c r="S392" t="s">
        <v>210</v>
      </c>
      <c r="T392">
        <v>2023</v>
      </c>
      <c r="U392">
        <v>806</v>
      </c>
      <c r="V392">
        <v>771</v>
      </c>
      <c r="W392" t="s">
        <v>36</v>
      </c>
      <c r="X392">
        <v>3342000</v>
      </c>
      <c r="Y392">
        <v>6.9800000000000001E-2</v>
      </c>
      <c r="Z392">
        <v>58</v>
      </c>
      <c r="AA392" t="s">
        <v>91</v>
      </c>
      <c r="AB392" t="s">
        <v>38</v>
      </c>
      <c r="AC392" t="s">
        <v>81</v>
      </c>
      <c r="AD392">
        <v>19429.37</v>
      </c>
      <c r="AE392" t="b">
        <v>0</v>
      </c>
      <c r="AF392">
        <v>997759.01</v>
      </c>
    </row>
    <row r="393" spans="1:32" x14ac:dyDescent="0.3">
      <c r="A393" t="s">
        <v>909</v>
      </c>
      <c r="B393" t="s">
        <v>910</v>
      </c>
      <c r="C393" t="s">
        <v>98</v>
      </c>
      <c r="D393" t="s">
        <v>31</v>
      </c>
      <c r="E393">
        <v>811900</v>
      </c>
      <c r="F393">
        <v>72</v>
      </c>
      <c r="G393">
        <v>13.3</v>
      </c>
      <c r="H393">
        <v>662877.99</v>
      </c>
      <c r="I393">
        <v>0</v>
      </c>
      <c r="J393">
        <v>0</v>
      </c>
      <c r="K393">
        <v>0</v>
      </c>
      <c r="L393">
        <v>1</v>
      </c>
      <c r="M393">
        <v>142117484.08000001</v>
      </c>
      <c r="N393" s="1">
        <v>45596</v>
      </c>
      <c r="O393" t="s">
        <v>32</v>
      </c>
      <c r="P393" t="s">
        <v>33</v>
      </c>
      <c r="Q393" s="1">
        <v>45319</v>
      </c>
      <c r="R393" t="s">
        <v>61</v>
      </c>
      <c r="S393" t="s">
        <v>136</v>
      </c>
      <c r="T393">
        <v>2024</v>
      </c>
      <c r="U393">
        <v>806</v>
      </c>
      <c r="V393">
        <v>790</v>
      </c>
      <c r="W393" t="s">
        <v>63</v>
      </c>
      <c r="X393">
        <v>2728000</v>
      </c>
      <c r="Y393">
        <v>7.2300000000000003E-2</v>
      </c>
      <c r="Z393">
        <v>49</v>
      </c>
      <c r="AA393" t="s">
        <v>126</v>
      </c>
      <c r="AB393" t="s">
        <v>38</v>
      </c>
      <c r="AC393" t="s">
        <v>39</v>
      </c>
      <c r="AD393">
        <v>16427</v>
      </c>
      <c r="AE393" t="b">
        <v>0</v>
      </c>
      <c r="AF393">
        <v>987282.07</v>
      </c>
    </row>
    <row r="394" spans="1:32" x14ac:dyDescent="0.3">
      <c r="A394" t="s">
        <v>911</v>
      </c>
      <c r="B394" t="s">
        <v>912</v>
      </c>
      <c r="C394" t="s">
        <v>30</v>
      </c>
      <c r="D394" t="s">
        <v>31</v>
      </c>
      <c r="E394">
        <v>1137100</v>
      </c>
      <c r="F394">
        <v>48</v>
      </c>
      <c r="G394">
        <v>11.94</v>
      </c>
      <c r="H394">
        <v>432717.13</v>
      </c>
      <c r="I394">
        <v>0</v>
      </c>
      <c r="J394">
        <v>0</v>
      </c>
      <c r="K394">
        <v>0</v>
      </c>
      <c r="L394">
        <v>1</v>
      </c>
      <c r="M394">
        <v>142117484.08000001</v>
      </c>
      <c r="N394" s="1">
        <v>45596</v>
      </c>
      <c r="O394" t="s">
        <v>32</v>
      </c>
      <c r="P394" t="s">
        <v>44</v>
      </c>
      <c r="Q394" s="1">
        <v>44740</v>
      </c>
      <c r="R394" t="s">
        <v>68</v>
      </c>
      <c r="S394" t="s">
        <v>133</v>
      </c>
      <c r="T394">
        <v>2022</v>
      </c>
      <c r="U394">
        <v>806</v>
      </c>
      <c r="V394">
        <v>782</v>
      </c>
      <c r="W394" t="s">
        <v>57</v>
      </c>
      <c r="X394">
        <v>1676000</v>
      </c>
      <c r="Y394">
        <v>0.2142</v>
      </c>
      <c r="Z394">
        <v>37</v>
      </c>
      <c r="AA394" t="s">
        <v>91</v>
      </c>
      <c r="AB394" t="s">
        <v>38</v>
      </c>
      <c r="AC394" t="s">
        <v>54</v>
      </c>
      <c r="AD394">
        <v>29910.720000000001</v>
      </c>
      <c r="AE394" t="b">
        <v>0</v>
      </c>
      <c r="AF394">
        <v>1089708.1200000001</v>
      </c>
    </row>
    <row r="395" spans="1:32" x14ac:dyDescent="0.3">
      <c r="A395" t="s">
        <v>913</v>
      </c>
      <c r="B395" t="s">
        <v>914</v>
      </c>
      <c r="C395" t="s">
        <v>98</v>
      </c>
      <c r="D395" t="s">
        <v>31</v>
      </c>
      <c r="E395">
        <v>858400</v>
      </c>
      <c r="F395">
        <v>36</v>
      </c>
      <c r="G395">
        <v>14.35</v>
      </c>
      <c r="H395">
        <v>45527.9</v>
      </c>
      <c r="I395">
        <v>0</v>
      </c>
      <c r="J395">
        <v>0</v>
      </c>
      <c r="K395">
        <v>0</v>
      </c>
      <c r="L395">
        <v>1</v>
      </c>
      <c r="M395">
        <v>142117484.08000001</v>
      </c>
      <c r="N395" s="1">
        <v>45596</v>
      </c>
      <c r="O395" t="s">
        <v>32</v>
      </c>
      <c r="P395" t="s">
        <v>44</v>
      </c>
      <c r="Q395" s="1">
        <v>44542</v>
      </c>
      <c r="R395" t="s">
        <v>34</v>
      </c>
      <c r="S395" t="s">
        <v>186</v>
      </c>
      <c r="T395">
        <v>2021</v>
      </c>
      <c r="U395">
        <v>807</v>
      </c>
      <c r="V395">
        <v>827</v>
      </c>
      <c r="W395" t="s">
        <v>57</v>
      </c>
      <c r="X395">
        <v>813000</v>
      </c>
      <c r="Y395">
        <v>0.43519999999999998</v>
      </c>
      <c r="Z395">
        <v>38</v>
      </c>
      <c r="AA395" t="s">
        <v>47</v>
      </c>
      <c r="AB395" t="s">
        <v>38</v>
      </c>
      <c r="AC395" t="s">
        <v>39</v>
      </c>
      <c r="AD395">
        <v>29484.21</v>
      </c>
      <c r="AE395" t="b">
        <v>0</v>
      </c>
      <c r="AF395">
        <v>727935.51</v>
      </c>
    </row>
    <row r="396" spans="1:32" x14ac:dyDescent="0.3">
      <c r="A396" t="s">
        <v>915</v>
      </c>
      <c r="B396" t="s">
        <v>916</v>
      </c>
      <c r="C396" t="s">
        <v>103</v>
      </c>
      <c r="D396" t="s">
        <v>31</v>
      </c>
      <c r="E396">
        <v>868600</v>
      </c>
      <c r="F396">
        <v>60</v>
      </c>
      <c r="G396">
        <v>12.94</v>
      </c>
      <c r="H396">
        <v>713076.47</v>
      </c>
      <c r="I396">
        <v>0</v>
      </c>
      <c r="J396">
        <v>0</v>
      </c>
      <c r="K396">
        <v>0</v>
      </c>
      <c r="L396">
        <v>1</v>
      </c>
      <c r="M396">
        <v>142117484.08000001</v>
      </c>
      <c r="N396" s="1">
        <v>45596</v>
      </c>
      <c r="O396" t="s">
        <v>32</v>
      </c>
      <c r="P396" t="s">
        <v>74</v>
      </c>
      <c r="Q396" s="1">
        <v>45283</v>
      </c>
      <c r="R396" t="s">
        <v>34</v>
      </c>
      <c r="S396" t="s">
        <v>145</v>
      </c>
      <c r="T396">
        <v>2023</v>
      </c>
      <c r="U396">
        <v>808</v>
      </c>
      <c r="V396">
        <v>764</v>
      </c>
      <c r="W396" t="s">
        <v>63</v>
      </c>
      <c r="X396">
        <v>1040000</v>
      </c>
      <c r="Y396">
        <v>0.22770000000000001</v>
      </c>
      <c r="Z396">
        <v>25</v>
      </c>
      <c r="AA396" t="s">
        <v>47</v>
      </c>
      <c r="AB396" t="s">
        <v>38</v>
      </c>
      <c r="AC396" t="s">
        <v>39</v>
      </c>
      <c r="AD396">
        <v>19736.650000000001</v>
      </c>
      <c r="AE396" t="b">
        <v>0</v>
      </c>
      <c r="AF396">
        <v>971857.34</v>
      </c>
    </row>
    <row r="397" spans="1:32" x14ac:dyDescent="0.3">
      <c r="A397" t="s">
        <v>917</v>
      </c>
      <c r="B397" t="s">
        <v>918</v>
      </c>
      <c r="C397" t="s">
        <v>30</v>
      </c>
      <c r="D397" t="s">
        <v>84</v>
      </c>
      <c r="E397">
        <v>1010500</v>
      </c>
      <c r="F397">
        <v>48</v>
      </c>
      <c r="G397">
        <v>14.5</v>
      </c>
      <c r="H397">
        <v>602521.05000000005</v>
      </c>
      <c r="I397">
        <v>0</v>
      </c>
      <c r="J397">
        <v>0</v>
      </c>
      <c r="K397">
        <v>0</v>
      </c>
      <c r="L397">
        <v>1</v>
      </c>
      <c r="M397">
        <v>142117484.08000001</v>
      </c>
      <c r="N397" s="1">
        <v>45596</v>
      </c>
      <c r="O397" t="s">
        <v>32</v>
      </c>
      <c r="P397" t="s">
        <v>74</v>
      </c>
      <c r="Q397" s="1">
        <v>45064</v>
      </c>
      <c r="R397" t="s">
        <v>94</v>
      </c>
      <c r="S397" t="s">
        <v>117</v>
      </c>
      <c r="T397">
        <v>2020</v>
      </c>
      <c r="U397">
        <v>808</v>
      </c>
      <c r="V397">
        <v>774</v>
      </c>
      <c r="W397" t="s">
        <v>57</v>
      </c>
      <c r="X397">
        <v>2679000</v>
      </c>
      <c r="Y397">
        <v>0.12479999999999999</v>
      </c>
      <c r="Z397">
        <v>29</v>
      </c>
      <c r="AA397" t="s">
        <v>108</v>
      </c>
      <c r="AB397" t="s">
        <v>38</v>
      </c>
      <c r="AC397" t="s">
        <v>81</v>
      </c>
      <c r="AD397">
        <v>27867.52</v>
      </c>
      <c r="AE397" t="b">
        <v>0</v>
      </c>
      <c r="AF397">
        <v>878209.63</v>
      </c>
    </row>
    <row r="398" spans="1:32" x14ac:dyDescent="0.3">
      <c r="A398" t="s">
        <v>919</v>
      </c>
      <c r="B398" t="s">
        <v>920</v>
      </c>
      <c r="C398" t="s">
        <v>42</v>
      </c>
      <c r="D398" t="s">
        <v>31</v>
      </c>
      <c r="E398">
        <v>505800</v>
      </c>
      <c r="F398">
        <v>60</v>
      </c>
      <c r="G398">
        <v>9</v>
      </c>
      <c r="H398">
        <v>414653.59</v>
      </c>
      <c r="I398">
        <v>0</v>
      </c>
      <c r="J398">
        <v>0</v>
      </c>
      <c r="K398">
        <v>0</v>
      </c>
      <c r="L398">
        <v>1</v>
      </c>
      <c r="M398">
        <v>142117484.08000001</v>
      </c>
      <c r="N398" s="1">
        <v>45596</v>
      </c>
      <c r="O398" t="s">
        <v>32</v>
      </c>
      <c r="P398" t="s">
        <v>44</v>
      </c>
      <c r="Q398" s="1">
        <v>45372</v>
      </c>
      <c r="R398" t="s">
        <v>85</v>
      </c>
      <c r="S398" t="s">
        <v>440</v>
      </c>
      <c r="T398">
        <v>2024</v>
      </c>
      <c r="U398">
        <v>808</v>
      </c>
      <c r="V398">
        <v>836</v>
      </c>
      <c r="W398" t="s">
        <v>63</v>
      </c>
      <c r="X398">
        <v>463000</v>
      </c>
      <c r="Y398">
        <v>0.27210000000000001</v>
      </c>
      <c r="Z398">
        <v>50</v>
      </c>
      <c r="AA398" t="s">
        <v>71</v>
      </c>
      <c r="AB398" t="s">
        <v>38</v>
      </c>
      <c r="AC398" t="s">
        <v>39</v>
      </c>
      <c r="AD398">
        <v>10499.58</v>
      </c>
      <c r="AE398" t="b">
        <v>0</v>
      </c>
      <c r="AF398">
        <v>653102.27</v>
      </c>
    </row>
    <row r="399" spans="1:32" x14ac:dyDescent="0.3">
      <c r="A399" t="s">
        <v>921</v>
      </c>
      <c r="B399" t="s">
        <v>922</v>
      </c>
      <c r="C399" t="s">
        <v>103</v>
      </c>
      <c r="D399" t="s">
        <v>31</v>
      </c>
      <c r="E399">
        <v>1646500</v>
      </c>
      <c r="F399">
        <v>72</v>
      </c>
      <c r="G399">
        <v>10.210000000000001</v>
      </c>
      <c r="H399">
        <v>1527227.97</v>
      </c>
      <c r="I399">
        <v>0</v>
      </c>
      <c r="J399">
        <v>0</v>
      </c>
      <c r="K399">
        <v>0</v>
      </c>
      <c r="L399">
        <v>1</v>
      </c>
      <c r="M399">
        <v>142117484.08000001</v>
      </c>
      <c r="N399" s="1">
        <v>45596</v>
      </c>
      <c r="O399" t="s">
        <v>32</v>
      </c>
      <c r="P399" t="s">
        <v>50</v>
      </c>
      <c r="Q399" s="1">
        <v>45346</v>
      </c>
      <c r="R399" t="s">
        <v>85</v>
      </c>
      <c r="S399" t="s">
        <v>86</v>
      </c>
      <c r="T399">
        <v>2024</v>
      </c>
      <c r="U399">
        <v>808</v>
      </c>
      <c r="V399">
        <v>814</v>
      </c>
      <c r="W399" t="s">
        <v>57</v>
      </c>
      <c r="X399">
        <v>1053000</v>
      </c>
      <c r="Y399">
        <v>0.34960000000000002</v>
      </c>
      <c r="Z399">
        <v>42</v>
      </c>
      <c r="AA399" t="s">
        <v>71</v>
      </c>
      <c r="AB399" t="s">
        <v>38</v>
      </c>
      <c r="AC399" t="s">
        <v>54</v>
      </c>
      <c r="AD399">
        <v>30677.439999999999</v>
      </c>
      <c r="AE399" t="b">
        <v>0</v>
      </c>
      <c r="AF399">
        <v>2455142.2799999998</v>
      </c>
    </row>
    <row r="400" spans="1:32" x14ac:dyDescent="0.3">
      <c r="A400" t="s">
        <v>923</v>
      </c>
      <c r="B400" t="s">
        <v>924</v>
      </c>
      <c r="C400" t="s">
        <v>98</v>
      </c>
      <c r="D400" t="s">
        <v>31</v>
      </c>
      <c r="E400">
        <v>693600</v>
      </c>
      <c r="F400">
        <v>36</v>
      </c>
      <c r="G400">
        <v>7.76</v>
      </c>
      <c r="H400">
        <v>88745.98</v>
      </c>
      <c r="I400">
        <v>0</v>
      </c>
      <c r="J400">
        <v>0</v>
      </c>
      <c r="K400">
        <v>0</v>
      </c>
      <c r="L400">
        <v>1</v>
      </c>
      <c r="M400">
        <v>142117484.08000001</v>
      </c>
      <c r="N400" s="1">
        <v>45596</v>
      </c>
      <c r="O400" t="s">
        <v>32</v>
      </c>
      <c r="P400" t="s">
        <v>50</v>
      </c>
      <c r="Q400" s="1">
        <v>44630</v>
      </c>
      <c r="R400" t="s">
        <v>94</v>
      </c>
      <c r="S400" t="s">
        <v>117</v>
      </c>
      <c r="T400">
        <v>2022</v>
      </c>
      <c r="U400">
        <v>808</v>
      </c>
      <c r="V400">
        <v>763</v>
      </c>
      <c r="W400" t="s">
        <v>70</v>
      </c>
      <c r="X400">
        <v>4564000</v>
      </c>
      <c r="Y400">
        <v>5.6899999999999999E-2</v>
      </c>
      <c r="Z400">
        <v>25</v>
      </c>
      <c r="AA400" t="s">
        <v>58</v>
      </c>
      <c r="AB400" t="s">
        <v>38</v>
      </c>
      <c r="AC400" t="s">
        <v>54</v>
      </c>
      <c r="AD400">
        <v>21658.19</v>
      </c>
      <c r="AE400" t="b">
        <v>0</v>
      </c>
      <c r="AF400">
        <v>523518.26</v>
      </c>
    </row>
    <row r="401" spans="1:32" x14ac:dyDescent="0.3">
      <c r="A401" t="s">
        <v>925</v>
      </c>
      <c r="B401" t="s">
        <v>926</v>
      </c>
      <c r="C401" t="s">
        <v>67</v>
      </c>
      <c r="D401" t="s">
        <v>31</v>
      </c>
      <c r="E401">
        <v>1547400</v>
      </c>
      <c r="F401">
        <v>60</v>
      </c>
      <c r="G401">
        <v>9.93</v>
      </c>
      <c r="H401">
        <v>603945.66</v>
      </c>
      <c r="I401">
        <v>0</v>
      </c>
      <c r="J401">
        <v>0</v>
      </c>
      <c r="K401">
        <v>0</v>
      </c>
      <c r="L401">
        <v>1</v>
      </c>
      <c r="M401">
        <v>142117484.08000001</v>
      </c>
      <c r="N401" s="1">
        <v>45596</v>
      </c>
      <c r="O401" t="s">
        <v>32</v>
      </c>
      <c r="P401" t="s">
        <v>33</v>
      </c>
      <c r="Q401" s="1">
        <v>44554</v>
      </c>
      <c r="R401" t="s">
        <v>45</v>
      </c>
      <c r="S401" t="s">
        <v>46</v>
      </c>
      <c r="T401">
        <v>2021</v>
      </c>
      <c r="U401">
        <v>808</v>
      </c>
      <c r="V401">
        <v>804</v>
      </c>
      <c r="W401" t="s">
        <v>57</v>
      </c>
      <c r="X401">
        <v>2940000</v>
      </c>
      <c r="Y401">
        <v>0.13400000000000001</v>
      </c>
      <c r="Z401">
        <v>36</v>
      </c>
      <c r="AA401" t="s">
        <v>53</v>
      </c>
      <c r="AB401" t="s">
        <v>38</v>
      </c>
      <c r="AC401" t="s">
        <v>54</v>
      </c>
      <c r="AD401">
        <v>32824.410000000003</v>
      </c>
      <c r="AE401" t="b">
        <v>0</v>
      </c>
      <c r="AF401">
        <v>1486104.45</v>
      </c>
    </row>
    <row r="402" spans="1:32" x14ac:dyDescent="0.3">
      <c r="A402" t="s">
        <v>927</v>
      </c>
      <c r="B402" t="s">
        <v>928</v>
      </c>
      <c r="C402" t="s">
        <v>30</v>
      </c>
      <c r="D402" t="s">
        <v>31</v>
      </c>
      <c r="E402">
        <v>1061100</v>
      </c>
      <c r="F402">
        <v>48</v>
      </c>
      <c r="G402">
        <v>11.26</v>
      </c>
      <c r="H402">
        <v>958534.27</v>
      </c>
      <c r="I402">
        <v>0</v>
      </c>
      <c r="J402">
        <v>0</v>
      </c>
      <c r="K402">
        <v>0</v>
      </c>
      <c r="L402">
        <v>1</v>
      </c>
      <c r="M402">
        <v>142117484.08000001</v>
      </c>
      <c r="N402" s="1">
        <v>45596</v>
      </c>
      <c r="O402" t="s">
        <v>32</v>
      </c>
      <c r="P402" t="s">
        <v>74</v>
      </c>
      <c r="Q402" s="1">
        <v>45499</v>
      </c>
      <c r="R402" t="s">
        <v>94</v>
      </c>
      <c r="S402" t="s">
        <v>95</v>
      </c>
      <c r="T402">
        <v>2024</v>
      </c>
      <c r="U402">
        <v>808</v>
      </c>
      <c r="V402">
        <v>795</v>
      </c>
      <c r="W402" t="s">
        <v>57</v>
      </c>
      <c r="X402">
        <v>1608000</v>
      </c>
      <c r="Y402">
        <v>0.20569999999999999</v>
      </c>
      <c r="Z402">
        <v>50</v>
      </c>
      <c r="AA402" t="s">
        <v>91</v>
      </c>
      <c r="AB402" t="s">
        <v>38</v>
      </c>
      <c r="AC402" t="s">
        <v>39</v>
      </c>
      <c r="AD402">
        <v>27558.86</v>
      </c>
      <c r="AE402" t="b">
        <v>0</v>
      </c>
      <c r="AF402">
        <v>1190573.98</v>
      </c>
    </row>
    <row r="403" spans="1:32" x14ac:dyDescent="0.3">
      <c r="A403" t="s">
        <v>929</v>
      </c>
      <c r="B403" t="s">
        <v>930</v>
      </c>
      <c r="C403" t="s">
        <v>67</v>
      </c>
      <c r="D403" t="s">
        <v>31</v>
      </c>
      <c r="E403">
        <v>1553600</v>
      </c>
      <c r="F403">
        <v>60</v>
      </c>
      <c r="G403">
        <v>10.24</v>
      </c>
      <c r="H403">
        <v>1404616.63</v>
      </c>
      <c r="I403">
        <v>78</v>
      </c>
      <c r="J403">
        <v>0</v>
      </c>
      <c r="K403">
        <v>0</v>
      </c>
      <c r="L403">
        <v>2</v>
      </c>
      <c r="M403">
        <v>142117484.08000001</v>
      </c>
      <c r="N403" s="1">
        <v>45596</v>
      </c>
      <c r="O403" t="s">
        <v>122</v>
      </c>
      <c r="P403" t="s">
        <v>44</v>
      </c>
      <c r="Q403" s="1">
        <v>45376</v>
      </c>
      <c r="R403" t="s">
        <v>171</v>
      </c>
      <c r="S403" t="s">
        <v>381</v>
      </c>
      <c r="T403">
        <v>2024</v>
      </c>
      <c r="U403">
        <v>808</v>
      </c>
      <c r="V403">
        <v>813</v>
      </c>
      <c r="W403" t="s">
        <v>70</v>
      </c>
      <c r="X403">
        <v>1471000</v>
      </c>
      <c r="Y403">
        <v>0.27079999999999999</v>
      </c>
      <c r="Z403">
        <v>33</v>
      </c>
      <c r="AA403" t="s">
        <v>37</v>
      </c>
      <c r="AB403" t="s">
        <v>38</v>
      </c>
      <c r="AC403" t="s">
        <v>39</v>
      </c>
      <c r="AD403">
        <v>33193.17</v>
      </c>
      <c r="AE403" t="b">
        <v>0</v>
      </c>
      <c r="AF403">
        <v>1561583.38</v>
      </c>
    </row>
    <row r="404" spans="1:32" x14ac:dyDescent="0.3">
      <c r="A404" t="s">
        <v>931</v>
      </c>
      <c r="B404" t="s">
        <v>932</v>
      </c>
      <c r="C404" t="s">
        <v>30</v>
      </c>
      <c r="D404" t="s">
        <v>31</v>
      </c>
      <c r="E404">
        <v>800000</v>
      </c>
      <c r="F404">
        <v>48</v>
      </c>
      <c r="G404">
        <v>12.58</v>
      </c>
      <c r="H404">
        <v>459479.07</v>
      </c>
      <c r="I404">
        <v>0</v>
      </c>
      <c r="J404">
        <v>0</v>
      </c>
      <c r="K404">
        <v>0</v>
      </c>
      <c r="L404">
        <v>1</v>
      </c>
      <c r="M404">
        <v>142117484.08000001</v>
      </c>
      <c r="N404" s="1">
        <v>45596</v>
      </c>
      <c r="O404" t="s">
        <v>32</v>
      </c>
      <c r="P404" t="s">
        <v>74</v>
      </c>
      <c r="Q404" s="1">
        <v>44930</v>
      </c>
      <c r="R404" t="s">
        <v>89</v>
      </c>
      <c r="S404" t="s">
        <v>112</v>
      </c>
      <c r="T404">
        <v>2023</v>
      </c>
      <c r="U404">
        <v>810</v>
      </c>
      <c r="V404">
        <v>762</v>
      </c>
      <c r="W404" t="s">
        <v>57</v>
      </c>
      <c r="X404">
        <v>2831000</v>
      </c>
      <c r="Y404">
        <v>9.0300000000000005E-2</v>
      </c>
      <c r="Z404">
        <v>39</v>
      </c>
      <c r="AA404" t="s">
        <v>53</v>
      </c>
      <c r="AB404" t="s">
        <v>38</v>
      </c>
      <c r="AC404" t="s">
        <v>81</v>
      </c>
      <c r="AD404">
        <v>21295.61</v>
      </c>
      <c r="AE404" t="b">
        <v>0</v>
      </c>
      <c r="AF404">
        <v>715934.84</v>
      </c>
    </row>
    <row r="405" spans="1:32" x14ac:dyDescent="0.3">
      <c r="A405" t="s">
        <v>933</v>
      </c>
      <c r="B405" t="s">
        <v>934</v>
      </c>
      <c r="C405" t="s">
        <v>98</v>
      </c>
      <c r="D405" t="s">
        <v>31</v>
      </c>
      <c r="E405">
        <v>858800</v>
      </c>
      <c r="F405">
        <v>36</v>
      </c>
      <c r="G405">
        <v>9.93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142117484.08000001</v>
      </c>
      <c r="N405" s="1">
        <v>45596</v>
      </c>
      <c r="O405" t="s">
        <v>32</v>
      </c>
      <c r="P405" t="s">
        <v>74</v>
      </c>
      <c r="Q405" s="1">
        <v>44437</v>
      </c>
      <c r="R405" t="s">
        <v>34</v>
      </c>
      <c r="S405" t="s">
        <v>35</v>
      </c>
      <c r="T405">
        <v>2021</v>
      </c>
      <c r="U405">
        <v>810</v>
      </c>
      <c r="V405">
        <v>815</v>
      </c>
      <c r="W405" t="s">
        <v>57</v>
      </c>
      <c r="X405">
        <v>2514000</v>
      </c>
      <c r="Y405">
        <v>0.1321</v>
      </c>
      <c r="Z405">
        <v>54</v>
      </c>
      <c r="AA405" t="s">
        <v>64</v>
      </c>
      <c r="AB405" t="s">
        <v>38</v>
      </c>
      <c r="AC405" t="s">
        <v>81</v>
      </c>
      <c r="AD405">
        <v>27682.84</v>
      </c>
      <c r="AE405" t="b">
        <v>1</v>
      </c>
      <c r="AF405">
        <v>667233.77</v>
      </c>
    </row>
    <row r="406" spans="1:32" x14ac:dyDescent="0.3">
      <c r="A406" t="s">
        <v>935</v>
      </c>
      <c r="B406" t="s">
        <v>936</v>
      </c>
      <c r="C406" t="s">
        <v>42</v>
      </c>
      <c r="D406" t="s">
        <v>84</v>
      </c>
      <c r="E406">
        <v>334900</v>
      </c>
      <c r="F406">
        <v>36</v>
      </c>
      <c r="G406">
        <v>14.44</v>
      </c>
      <c r="H406">
        <v>85761.46</v>
      </c>
      <c r="I406">
        <v>0</v>
      </c>
      <c r="J406">
        <v>0</v>
      </c>
      <c r="K406">
        <v>0</v>
      </c>
      <c r="L406">
        <v>1</v>
      </c>
      <c r="M406">
        <v>142117484.08000001</v>
      </c>
      <c r="N406" s="1">
        <v>45596</v>
      </c>
      <c r="O406" t="s">
        <v>32</v>
      </c>
      <c r="P406" t="s">
        <v>50</v>
      </c>
      <c r="Q406" s="1">
        <v>44799</v>
      </c>
      <c r="R406" t="s">
        <v>61</v>
      </c>
      <c r="S406" t="s">
        <v>62</v>
      </c>
      <c r="T406">
        <v>2018</v>
      </c>
      <c r="U406">
        <v>811</v>
      </c>
      <c r="V406">
        <v>827</v>
      </c>
      <c r="W406" t="s">
        <v>36</v>
      </c>
      <c r="X406">
        <v>2842000</v>
      </c>
      <c r="Y406">
        <v>4.8599999999999997E-2</v>
      </c>
      <c r="Z406">
        <v>59</v>
      </c>
      <c r="AA406" t="s">
        <v>104</v>
      </c>
      <c r="AB406" t="s">
        <v>38</v>
      </c>
      <c r="AC406" t="s">
        <v>54</v>
      </c>
      <c r="AD406">
        <v>11517.79</v>
      </c>
      <c r="AE406" t="b">
        <v>0</v>
      </c>
      <c r="AF406">
        <v>228130.61</v>
      </c>
    </row>
    <row r="407" spans="1:32" x14ac:dyDescent="0.3">
      <c r="A407" t="s">
        <v>937</v>
      </c>
      <c r="B407" t="s">
        <v>938</v>
      </c>
      <c r="C407" t="s">
        <v>30</v>
      </c>
      <c r="D407" t="s">
        <v>31</v>
      </c>
      <c r="E407">
        <v>1161700</v>
      </c>
      <c r="F407">
        <v>60</v>
      </c>
      <c r="G407">
        <v>10.1</v>
      </c>
      <c r="H407">
        <v>516405.88</v>
      </c>
      <c r="I407">
        <v>0</v>
      </c>
      <c r="J407">
        <v>0</v>
      </c>
      <c r="K407">
        <v>0</v>
      </c>
      <c r="L407">
        <v>1</v>
      </c>
      <c r="M407">
        <v>142117484.08000001</v>
      </c>
      <c r="N407" s="1">
        <v>45596</v>
      </c>
      <c r="O407" t="s">
        <v>32</v>
      </c>
      <c r="P407" t="s">
        <v>44</v>
      </c>
      <c r="Q407" s="1">
        <v>44571</v>
      </c>
      <c r="R407" t="s">
        <v>61</v>
      </c>
      <c r="S407" t="s">
        <v>210</v>
      </c>
      <c r="T407">
        <v>2022</v>
      </c>
      <c r="U407">
        <v>812</v>
      </c>
      <c r="V407">
        <v>836</v>
      </c>
      <c r="W407" t="s">
        <v>70</v>
      </c>
      <c r="X407">
        <v>552000</v>
      </c>
      <c r="Y407">
        <v>0.53779999999999994</v>
      </c>
      <c r="Z407">
        <v>31</v>
      </c>
      <c r="AA407" t="s">
        <v>53</v>
      </c>
      <c r="AB407" t="s">
        <v>38</v>
      </c>
      <c r="AC407" t="s">
        <v>39</v>
      </c>
      <c r="AD407">
        <v>24739.89</v>
      </c>
      <c r="AE407" t="b">
        <v>0</v>
      </c>
      <c r="AF407">
        <v>1063650.1399999999</v>
      </c>
    </row>
    <row r="408" spans="1:32" x14ac:dyDescent="0.3">
      <c r="A408" t="s">
        <v>939</v>
      </c>
      <c r="B408" t="s">
        <v>940</v>
      </c>
      <c r="C408" t="s">
        <v>103</v>
      </c>
      <c r="D408" t="s">
        <v>31</v>
      </c>
      <c r="E408">
        <v>880600</v>
      </c>
      <c r="F408">
        <v>48</v>
      </c>
      <c r="G408">
        <v>12.5</v>
      </c>
      <c r="H408">
        <v>265549.40999999997</v>
      </c>
      <c r="I408">
        <v>0</v>
      </c>
      <c r="J408">
        <v>0</v>
      </c>
      <c r="K408">
        <v>1022.39</v>
      </c>
      <c r="L408">
        <v>1</v>
      </c>
      <c r="M408">
        <v>142117484.08000001</v>
      </c>
      <c r="N408" s="1">
        <v>45596</v>
      </c>
      <c r="O408" t="s">
        <v>32</v>
      </c>
      <c r="P408" t="s">
        <v>74</v>
      </c>
      <c r="Q408" s="1">
        <v>44541</v>
      </c>
      <c r="R408" t="s">
        <v>99</v>
      </c>
      <c r="S408" t="s">
        <v>497</v>
      </c>
      <c r="T408">
        <v>2021</v>
      </c>
      <c r="U408">
        <v>812</v>
      </c>
      <c r="V408">
        <v>828</v>
      </c>
      <c r="W408" t="s">
        <v>70</v>
      </c>
      <c r="X408">
        <v>3575000</v>
      </c>
      <c r="Y408">
        <v>7.8600000000000003E-2</v>
      </c>
      <c r="Z408">
        <v>37</v>
      </c>
      <c r="AA408" t="s">
        <v>76</v>
      </c>
      <c r="AB408" t="s">
        <v>38</v>
      </c>
      <c r="AC408" t="s">
        <v>39</v>
      </c>
      <c r="AD408">
        <v>23406.35</v>
      </c>
      <c r="AE408" t="b">
        <v>0</v>
      </c>
      <c r="AF408">
        <v>678523.09</v>
      </c>
    </row>
    <row r="409" spans="1:32" x14ac:dyDescent="0.3">
      <c r="A409" t="s">
        <v>941</v>
      </c>
      <c r="B409" t="s">
        <v>942</v>
      </c>
      <c r="C409" t="s">
        <v>42</v>
      </c>
      <c r="D409" t="s">
        <v>43</v>
      </c>
      <c r="E409">
        <v>239600</v>
      </c>
      <c r="F409">
        <v>48</v>
      </c>
      <c r="G409">
        <v>12.82</v>
      </c>
      <c r="H409">
        <v>97799.42</v>
      </c>
      <c r="I409">
        <v>339</v>
      </c>
      <c r="J409">
        <v>0</v>
      </c>
      <c r="K409">
        <v>0</v>
      </c>
      <c r="L409">
        <v>3</v>
      </c>
      <c r="M409">
        <v>142117484.08000001</v>
      </c>
      <c r="N409" s="1">
        <v>45596</v>
      </c>
      <c r="O409" t="s">
        <v>260</v>
      </c>
      <c r="P409" t="s">
        <v>44</v>
      </c>
      <c r="Q409" s="1">
        <v>44749</v>
      </c>
      <c r="R409" t="s">
        <v>34</v>
      </c>
      <c r="S409" t="s">
        <v>35</v>
      </c>
      <c r="T409">
        <v>2017</v>
      </c>
      <c r="U409">
        <v>813</v>
      </c>
      <c r="V409">
        <v>841</v>
      </c>
      <c r="W409" t="s">
        <v>63</v>
      </c>
      <c r="X409">
        <v>4011000</v>
      </c>
      <c r="Y409">
        <v>1.9199999999999998E-2</v>
      </c>
      <c r="Z409">
        <v>62</v>
      </c>
      <c r="AA409" t="s">
        <v>226</v>
      </c>
      <c r="AB409" t="s">
        <v>38</v>
      </c>
      <c r="AC409" t="s">
        <v>54</v>
      </c>
      <c r="AD409">
        <v>6406.48</v>
      </c>
      <c r="AE409" t="b">
        <v>1</v>
      </c>
      <c r="AF409">
        <v>208773.18</v>
      </c>
    </row>
    <row r="410" spans="1:32" x14ac:dyDescent="0.3">
      <c r="A410" t="s">
        <v>943</v>
      </c>
      <c r="B410" t="s">
        <v>944</v>
      </c>
      <c r="C410" t="s">
        <v>67</v>
      </c>
      <c r="D410" t="s">
        <v>84</v>
      </c>
      <c r="E410">
        <v>1473500</v>
      </c>
      <c r="F410">
        <v>84</v>
      </c>
      <c r="G410">
        <v>11.48</v>
      </c>
      <c r="H410">
        <v>715249.65</v>
      </c>
      <c r="I410">
        <v>0</v>
      </c>
      <c r="J410">
        <v>0</v>
      </c>
      <c r="K410">
        <v>0</v>
      </c>
      <c r="L410">
        <v>1</v>
      </c>
      <c r="M410">
        <v>142117484.08000001</v>
      </c>
      <c r="N410" s="1">
        <v>45596</v>
      </c>
      <c r="O410" t="s">
        <v>32</v>
      </c>
      <c r="P410" t="s">
        <v>50</v>
      </c>
      <c r="Q410" s="1">
        <v>44390</v>
      </c>
      <c r="R410" t="s">
        <v>89</v>
      </c>
      <c r="S410" t="s">
        <v>183</v>
      </c>
      <c r="T410">
        <v>2017</v>
      </c>
      <c r="U410">
        <v>813</v>
      </c>
      <c r="V410">
        <v>775</v>
      </c>
      <c r="W410" t="s">
        <v>57</v>
      </c>
      <c r="X410">
        <v>2940000</v>
      </c>
      <c r="Y410">
        <v>0.1045</v>
      </c>
      <c r="Z410">
        <v>48</v>
      </c>
      <c r="AA410" t="s">
        <v>162</v>
      </c>
      <c r="AB410" t="s">
        <v>38</v>
      </c>
      <c r="AC410" t="s">
        <v>81</v>
      </c>
      <c r="AD410">
        <v>25603.32</v>
      </c>
      <c r="AE410" t="b">
        <v>0</v>
      </c>
      <c r="AF410">
        <v>1104062.17</v>
      </c>
    </row>
    <row r="411" spans="1:32" x14ac:dyDescent="0.3">
      <c r="A411" t="s">
        <v>945</v>
      </c>
      <c r="B411" t="s">
        <v>946</v>
      </c>
      <c r="C411" t="s">
        <v>42</v>
      </c>
      <c r="D411" t="s">
        <v>31</v>
      </c>
      <c r="E411">
        <v>780600</v>
      </c>
      <c r="F411">
        <v>60</v>
      </c>
      <c r="G411">
        <v>7.68</v>
      </c>
      <c r="H411">
        <v>311165.14</v>
      </c>
      <c r="I411">
        <v>0</v>
      </c>
      <c r="J411">
        <v>0</v>
      </c>
      <c r="K411">
        <v>0</v>
      </c>
      <c r="L411">
        <v>1</v>
      </c>
      <c r="M411">
        <v>142117484.08000001</v>
      </c>
      <c r="N411" s="1">
        <v>45596</v>
      </c>
      <c r="O411" t="s">
        <v>32</v>
      </c>
      <c r="P411" t="s">
        <v>50</v>
      </c>
      <c r="Q411" s="1">
        <v>44460</v>
      </c>
      <c r="R411" t="s">
        <v>51</v>
      </c>
      <c r="S411" t="s">
        <v>194</v>
      </c>
      <c r="T411">
        <v>2021</v>
      </c>
      <c r="U411">
        <v>813</v>
      </c>
      <c r="V411">
        <v>792</v>
      </c>
      <c r="W411" t="s">
        <v>57</v>
      </c>
      <c r="X411">
        <v>1198000</v>
      </c>
      <c r="Y411">
        <v>0.1573</v>
      </c>
      <c r="Z411">
        <v>27</v>
      </c>
      <c r="AA411" t="s">
        <v>53</v>
      </c>
      <c r="AB411" t="s">
        <v>38</v>
      </c>
      <c r="AC411" t="s">
        <v>81</v>
      </c>
      <c r="AD411">
        <v>15708.48</v>
      </c>
      <c r="AE411" t="b">
        <v>0</v>
      </c>
      <c r="AF411">
        <v>599863.59</v>
      </c>
    </row>
    <row r="412" spans="1:32" x14ac:dyDescent="0.3">
      <c r="A412" t="s">
        <v>947</v>
      </c>
      <c r="B412" t="s">
        <v>948</v>
      </c>
      <c r="C412" t="s">
        <v>98</v>
      </c>
      <c r="D412" t="s">
        <v>31</v>
      </c>
      <c r="E412">
        <v>1013600</v>
      </c>
      <c r="F412">
        <v>84</v>
      </c>
      <c r="G412">
        <v>14.47</v>
      </c>
      <c r="H412">
        <v>681386.28</v>
      </c>
      <c r="I412">
        <v>0</v>
      </c>
      <c r="J412">
        <v>0</v>
      </c>
      <c r="K412">
        <v>0</v>
      </c>
      <c r="L412">
        <v>1</v>
      </c>
      <c r="M412">
        <v>142117484.08000001</v>
      </c>
      <c r="N412" s="1">
        <v>45596</v>
      </c>
      <c r="O412" t="s">
        <v>32</v>
      </c>
      <c r="P412" t="s">
        <v>74</v>
      </c>
      <c r="Q412" s="1">
        <v>44778</v>
      </c>
      <c r="R412" t="s">
        <v>51</v>
      </c>
      <c r="S412" t="s">
        <v>52</v>
      </c>
      <c r="T412">
        <v>2022</v>
      </c>
      <c r="U412">
        <v>813</v>
      </c>
      <c r="V412">
        <v>819</v>
      </c>
      <c r="W412" t="s">
        <v>70</v>
      </c>
      <c r="X412">
        <v>2410000</v>
      </c>
      <c r="Y412">
        <v>9.5899999999999999E-2</v>
      </c>
      <c r="Z412">
        <v>38</v>
      </c>
      <c r="AA412" t="s">
        <v>126</v>
      </c>
      <c r="AB412" t="s">
        <v>38</v>
      </c>
      <c r="AC412" t="s">
        <v>81</v>
      </c>
      <c r="AD412">
        <v>19259.009999999998</v>
      </c>
      <c r="AE412" t="b">
        <v>0</v>
      </c>
      <c r="AF412">
        <v>993731.61</v>
      </c>
    </row>
    <row r="413" spans="1:32" x14ac:dyDescent="0.3">
      <c r="A413" t="s">
        <v>949</v>
      </c>
      <c r="B413" t="s">
        <v>950</v>
      </c>
      <c r="C413" t="s">
        <v>42</v>
      </c>
      <c r="D413" t="s">
        <v>31</v>
      </c>
      <c r="E413">
        <v>526200</v>
      </c>
      <c r="F413">
        <v>84</v>
      </c>
      <c r="G413">
        <v>12.66</v>
      </c>
      <c r="H413">
        <v>272869.26</v>
      </c>
      <c r="I413">
        <v>0</v>
      </c>
      <c r="J413">
        <v>0</v>
      </c>
      <c r="K413">
        <v>0</v>
      </c>
      <c r="L413">
        <v>1</v>
      </c>
      <c r="M413">
        <v>142117484.08000001</v>
      </c>
      <c r="N413" s="1">
        <v>45596</v>
      </c>
      <c r="O413" t="s">
        <v>32</v>
      </c>
      <c r="P413" t="s">
        <v>44</v>
      </c>
      <c r="Q413" s="1">
        <v>44402</v>
      </c>
      <c r="R413" t="s">
        <v>89</v>
      </c>
      <c r="S413" t="s">
        <v>183</v>
      </c>
      <c r="T413">
        <v>2021</v>
      </c>
      <c r="U413">
        <v>814</v>
      </c>
      <c r="V413">
        <v>781</v>
      </c>
      <c r="W413" t="s">
        <v>63</v>
      </c>
      <c r="X413">
        <v>3262000</v>
      </c>
      <c r="Y413">
        <v>3.49E-2</v>
      </c>
      <c r="Z413">
        <v>28</v>
      </c>
      <c r="AA413" t="s">
        <v>76</v>
      </c>
      <c r="AB413" t="s">
        <v>38</v>
      </c>
      <c r="AC413" t="s">
        <v>54</v>
      </c>
      <c r="AD413">
        <v>9475.61</v>
      </c>
      <c r="AE413" t="b">
        <v>0</v>
      </c>
      <c r="AF413">
        <v>358213.26</v>
      </c>
    </row>
    <row r="414" spans="1:32" x14ac:dyDescent="0.3">
      <c r="A414" t="s">
        <v>951</v>
      </c>
      <c r="B414" t="s">
        <v>952</v>
      </c>
      <c r="C414" t="s">
        <v>42</v>
      </c>
      <c r="D414" t="s">
        <v>31</v>
      </c>
      <c r="E414">
        <v>776400</v>
      </c>
      <c r="F414">
        <v>60</v>
      </c>
      <c r="G414">
        <v>13.52</v>
      </c>
      <c r="H414">
        <v>582374.74</v>
      </c>
      <c r="I414">
        <v>0</v>
      </c>
      <c r="J414">
        <v>0</v>
      </c>
      <c r="K414">
        <v>0</v>
      </c>
      <c r="L414">
        <v>1</v>
      </c>
      <c r="M414">
        <v>142117484.08000001</v>
      </c>
      <c r="N414" s="1">
        <v>45596</v>
      </c>
      <c r="O414" t="s">
        <v>32</v>
      </c>
      <c r="P414" t="s">
        <v>50</v>
      </c>
      <c r="Q414" s="1">
        <v>45228</v>
      </c>
      <c r="R414" t="s">
        <v>34</v>
      </c>
      <c r="S414" t="s">
        <v>123</v>
      </c>
      <c r="T414">
        <v>2023</v>
      </c>
      <c r="U414">
        <v>814</v>
      </c>
      <c r="V414">
        <v>771</v>
      </c>
      <c r="W414" t="s">
        <v>70</v>
      </c>
      <c r="X414">
        <v>1243000</v>
      </c>
      <c r="Y414">
        <v>0.17249999999999999</v>
      </c>
      <c r="Z414">
        <v>45</v>
      </c>
      <c r="AA414" t="s">
        <v>37</v>
      </c>
      <c r="AB414" t="s">
        <v>38</v>
      </c>
      <c r="AC414" t="s">
        <v>81</v>
      </c>
      <c r="AD414">
        <v>17872.849999999999</v>
      </c>
      <c r="AE414" t="b">
        <v>0</v>
      </c>
      <c r="AF414">
        <v>649831.04</v>
      </c>
    </row>
    <row r="415" spans="1:32" x14ac:dyDescent="0.3">
      <c r="A415" t="s">
        <v>953</v>
      </c>
      <c r="B415" t="s">
        <v>954</v>
      </c>
      <c r="C415" t="s">
        <v>103</v>
      </c>
      <c r="D415" t="s">
        <v>84</v>
      </c>
      <c r="E415">
        <v>1159600</v>
      </c>
      <c r="F415">
        <v>84</v>
      </c>
      <c r="G415">
        <v>9.89</v>
      </c>
      <c r="H415">
        <v>1017192.61</v>
      </c>
      <c r="I415">
        <v>0</v>
      </c>
      <c r="J415">
        <v>0</v>
      </c>
      <c r="K415">
        <v>0</v>
      </c>
      <c r="L415">
        <v>1</v>
      </c>
      <c r="M415">
        <v>142117484.08000001</v>
      </c>
      <c r="N415" s="1">
        <v>45596</v>
      </c>
      <c r="O415" t="s">
        <v>32</v>
      </c>
      <c r="P415" t="s">
        <v>44</v>
      </c>
      <c r="Q415" s="1">
        <v>45350</v>
      </c>
      <c r="R415" t="s">
        <v>45</v>
      </c>
      <c r="S415" t="s">
        <v>107</v>
      </c>
      <c r="T415">
        <v>2020</v>
      </c>
      <c r="U415">
        <v>815</v>
      </c>
      <c r="V415">
        <v>832</v>
      </c>
      <c r="W415" t="s">
        <v>70</v>
      </c>
      <c r="X415">
        <v>2778000</v>
      </c>
      <c r="Y415">
        <v>8.2900000000000001E-2</v>
      </c>
      <c r="Z415">
        <v>31</v>
      </c>
      <c r="AA415" t="s">
        <v>47</v>
      </c>
      <c r="AB415" t="s">
        <v>38</v>
      </c>
      <c r="AC415" t="s">
        <v>81</v>
      </c>
      <c r="AD415">
        <v>19184.89</v>
      </c>
      <c r="AE415" t="b">
        <v>0</v>
      </c>
      <c r="AF415">
        <v>1285896.93</v>
      </c>
    </row>
    <row r="416" spans="1:32" x14ac:dyDescent="0.3">
      <c r="A416" t="s">
        <v>955</v>
      </c>
      <c r="B416" t="s">
        <v>956</v>
      </c>
      <c r="C416" t="s">
        <v>98</v>
      </c>
      <c r="D416" t="s">
        <v>31</v>
      </c>
      <c r="E416">
        <v>801600</v>
      </c>
      <c r="F416">
        <v>60</v>
      </c>
      <c r="G416">
        <v>14.2</v>
      </c>
      <c r="H416">
        <v>389860.03</v>
      </c>
      <c r="I416">
        <v>0</v>
      </c>
      <c r="J416">
        <v>0</v>
      </c>
      <c r="K416">
        <v>0</v>
      </c>
      <c r="L416">
        <v>1</v>
      </c>
      <c r="M416">
        <v>142117484.08000001</v>
      </c>
      <c r="N416" s="1">
        <v>45596</v>
      </c>
      <c r="O416" t="s">
        <v>32</v>
      </c>
      <c r="P416" t="s">
        <v>33</v>
      </c>
      <c r="Q416" s="1">
        <v>44654</v>
      </c>
      <c r="R416" t="s">
        <v>171</v>
      </c>
      <c r="S416" t="s">
        <v>475</v>
      </c>
      <c r="T416">
        <v>2022</v>
      </c>
      <c r="U416">
        <v>815</v>
      </c>
      <c r="V416">
        <v>789</v>
      </c>
      <c r="W416" t="s">
        <v>63</v>
      </c>
      <c r="X416">
        <v>4173000</v>
      </c>
      <c r="Y416">
        <v>5.3900000000000003E-2</v>
      </c>
      <c r="Z416">
        <v>62</v>
      </c>
      <c r="AA416" t="s">
        <v>53</v>
      </c>
      <c r="AB416" t="s">
        <v>38</v>
      </c>
      <c r="AC416" t="s">
        <v>81</v>
      </c>
      <c r="AD416">
        <v>18735.05</v>
      </c>
      <c r="AE416" t="b">
        <v>0</v>
      </c>
      <c r="AF416">
        <v>721458.13</v>
      </c>
    </row>
    <row r="417" spans="1:32" x14ac:dyDescent="0.3">
      <c r="A417" t="s">
        <v>957</v>
      </c>
      <c r="B417" t="s">
        <v>958</v>
      </c>
      <c r="C417" t="s">
        <v>67</v>
      </c>
      <c r="D417" t="s">
        <v>31</v>
      </c>
      <c r="E417">
        <v>1447000</v>
      </c>
      <c r="F417">
        <v>72</v>
      </c>
      <c r="G417">
        <v>9.27</v>
      </c>
      <c r="H417">
        <v>751710.94</v>
      </c>
      <c r="I417">
        <v>109</v>
      </c>
      <c r="J417">
        <v>0</v>
      </c>
      <c r="K417">
        <v>0</v>
      </c>
      <c r="L417">
        <v>3</v>
      </c>
      <c r="M417">
        <v>142117484.08000001</v>
      </c>
      <c r="N417" s="1">
        <v>45596</v>
      </c>
      <c r="O417" t="s">
        <v>111</v>
      </c>
      <c r="P417" t="s">
        <v>74</v>
      </c>
      <c r="Q417" s="1">
        <v>44630</v>
      </c>
      <c r="R417" t="s">
        <v>68</v>
      </c>
      <c r="S417" t="s">
        <v>69</v>
      </c>
      <c r="T417">
        <v>2022</v>
      </c>
      <c r="U417">
        <v>816</v>
      </c>
      <c r="V417">
        <v>774</v>
      </c>
      <c r="W417" t="s">
        <v>57</v>
      </c>
      <c r="X417">
        <v>1310000</v>
      </c>
      <c r="Y417">
        <v>0.2407</v>
      </c>
      <c r="Z417">
        <v>58</v>
      </c>
      <c r="AA417" t="s">
        <v>140</v>
      </c>
      <c r="AB417" t="s">
        <v>38</v>
      </c>
      <c r="AC417" t="s">
        <v>81</v>
      </c>
      <c r="AD417">
        <v>26277.279999999999</v>
      </c>
      <c r="AE417" t="b">
        <v>0</v>
      </c>
      <c r="AF417">
        <v>989356.23</v>
      </c>
    </row>
    <row r="418" spans="1:32" x14ac:dyDescent="0.3">
      <c r="A418" t="s">
        <v>959</v>
      </c>
      <c r="B418" t="s">
        <v>960</v>
      </c>
      <c r="C418" t="s">
        <v>98</v>
      </c>
      <c r="D418" t="s">
        <v>31</v>
      </c>
      <c r="E418">
        <v>960600</v>
      </c>
      <c r="F418">
        <v>60</v>
      </c>
      <c r="G418">
        <v>8.0500000000000007</v>
      </c>
      <c r="H418">
        <v>714685.85</v>
      </c>
      <c r="I418">
        <v>0</v>
      </c>
      <c r="J418">
        <v>0</v>
      </c>
      <c r="K418">
        <v>0</v>
      </c>
      <c r="L418">
        <v>1</v>
      </c>
      <c r="M418">
        <v>142117484.08000001</v>
      </c>
      <c r="N418" s="1">
        <v>45596</v>
      </c>
      <c r="O418" t="s">
        <v>32</v>
      </c>
      <c r="P418" t="s">
        <v>50</v>
      </c>
      <c r="Q418" s="1">
        <v>45064</v>
      </c>
      <c r="R418" t="s">
        <v>85</v>
      </c>
      <c r="S418" t="s">
        <v>86</v>
      </c>
      <c r="T418">
        <v>2023</v>
      </c>
      <c r="U418">
        <v>816</v>
      </c>
      <c r="V418">
        <v>774</v>
      </c>
      <c r="W418" t="s">
        <v>36</v>
      </c>
      <c r="X418">
        <v>3391000</v>
      </c>
      <c r="Y418">
        <v>6.9000000000000006E-2</v>
      </c>
      <c r="Z418">
        <v>32</v>
      </c>
      <c r="AA418" t="s">
        <v>126</v>
      </c>
      <c r="AB418" t="s">
        <v>38</v>
      </c>
      <c r="AC418" t="s">
        <v>54</v>
      </c>
      <c r="AD418">
        <v>19500.5</v>
      </c>
      <c r="AE418" t="b">
        <v>0</v>
      </c>
      <c r="AF418">
        <v>1096101.08</v>
      </c>
    </row>
    <row r="419" spans="1:32" x14ac:dyDescent="0.3">
      <c r="A419" t="s">
        <v>961</v>
      </c>
      <c r="B419" t="s">
        <v>962</v>
      </c>
      <c r="C419" t="s">
        <v>67</v>
      </c>
      <c r="D419" t="s">
        <v>31</v>
      </c>
      <c r="E419">
        <v>2082500</v>
      </c>
      <c r="F419">
        <v>48</v>
      </c>
      <c r="G419">
        <v>8.4600000000000009</v>
      </c>
      <c r="H419">
        <v>432670.47</v>
      </c>
      <c r="I419">
        <v>34</v>
      </c>
      <c r="J419">
        <v>0</v>
      </c>
      <c r="K419">
        <v>0</v>
      </c>
      <c r="L419">
        <v>2</v>
      </c>
      <c r="M419">
        <v>142117484.08000001</v>
      </c>
      <c r="N419" s="1">
        <v>45596</v>
      </c>
      <c r="O419" t="s">
        <v>116</v>
      </c>
      <c r="P419" t="s">
        <v>44</v>
      </c>
      <c r="Q419" s="1">
        <v>44455</v>
      </c>
      <c r="R419" t="s">
        <v>94</v>
      </c>
      <c r="S419" t="s">
        <v>117</v>
      </c>
      <c r="T419">
        <v>2021</v>
      </c>
      <c r="U419">
        <v>816</v>
      </c>
      <c r="V419">
        <v>811</v>
      </c>
      <c r="W419" t="s">
        <v>70</v>
      </c>
      <c r="X419">
        <v>2712000</v>
      </c>
      <c r="Y419">
        <v>0.22700000000000001</v>
      </c>
      <c r="Z419">
        <v>44</v>
      </c>
      <c r="AA419" t="s">
        <v>126</v>
      </c>
      <c r="AB419" t="s">
        <v>38</v>
      </c>
      <c r="AC419" t="s">
        <v>54</v>
      </c>
      <c r="AD419">
        <v>51290.77</v>
      </c>
      <c r="AE419" t="b">
        <v>0</v>
      </c>
      <c r="AF419">
        <v>1619760</v>
      </c>
    </row>
    <row r="420" spans="1:32" x14ac:dyDescent="0.3">
      <c r="A420" t="s">
        <v>963</v>
      </c>
      <c r="B420" t="s">
        <v>964</v>
      </c>
      <c r="C420" t="s">
        <v>30</v>
      </c>
      <c r="D420" t="s">
        <v>31</v>
      </c>
      <c r="E420">
        <v>1572900</v>
      </c>
      <c r="F420">
        <v>48</v>
      </c>
      <c r="G420">
        <v>11.64</v>
      </c>
      <c r="H420">
        <v>462830.42</v>
      </c>
      <c r="I420">
        <v>0</v>
      </c>
      <c r="J420">
        <v>0</v>
      </c>
      <c r="K420">
        <v>0</v>
      </c>
      <c r="L420">
        <v>1</v>
      </c>
      <c r="M420">
        <v>142117484.08000001</v>
      </c>
      <c r="N420" s="1">
        <v>45596</v>
      </c>
      <c r="O420" t="s">
        <v>32</v>
      </c>
      <c r="P420" t="s">
        <v>74</v>
      </c>
      <c r="Q420" s="1">
        <v>44582</v>
      </c>
      <c r="R420" t="s">
        <v>89</v>
      </c>
      <c r="S420" t="s">
        <v>90</v>
      </c>
      <c r="T420">
        <v>2022</v>
      </c>
      <c r="U420">
        <v>816</v>
      </c>
      <c r="V420">
        <v>786</v>
      </c>
      <c r="W420" t="s">
        <v>57</v>
      </c>
      <c r="X420">
        <v>1078000</v>
      </c>
      <c r="Y420">
        <v>0.45800000000000002</v>
      </c>
      <c r="Z420">
        <v>51</v>
      </c>
      <c r="AA420" t="s">
        <v>37</v>
      </c>
      <c r="AB420" t="s">
        <v>38</v>
      </c>
      <c r="AC420" t="s">
        <v>54</v>
      </c>
      <c r="AD420">
        <v>41143.01</v>
      </c>
      <c r="AE420" t="b">
        <v>0</v>
      </c>
      <c r="AF420">
        <v>1247120.06</v>
      </c>
    </row>
    <row r="421" spans="1:32" x14ac:dyDescent="0.3">
      <c r="A421" t="s">
        <v>965</v>
      </c>
      <c r="B421" t="s">
        <v>966</v>
      </c>
      <c r="C421" t="s">
        <v>103</v>
      </c>
      <c r="D421" t="s">
        <v>43</v>
      </c>
      <c r="E421">
        <v>1244600</v>
      </c>
      <c r="F421">
        <v>48</v>
      </c>
      <c r="G421">
        <v>10.15</v>
      </c>
      <c r="H421">
        <v>332832.96000000002</v>
      </c>
      <c r="I421">
        <v>0</v>
      </c>
      <c r="J421">
        <v>0</v>
      </c>
      <c r="K421">
        <v>0</v>
      </c>
      <c r="L421">
        <v>1</v>
      </c>
      <c r="M421">
        <v>142117484.08000001</v>
      </c>
      <c r="N421" s="1">
        <v>45596</v>
      </c>
      <c r="O421" t="s">
        <v>32</v>
      </c>
      <c r="P421" t="s">
        <v>50</v>
      </c>
      <c r="Q421" s="1">
        <v>44504</v>
      </c>
      <c r="R421" t="s">
        <v>45</v>
      </c>
      <c r="S421" t="s">
        <v>46</v>
      </c>
      <c r="T421">
        <v>2019</v>
      </c>
      <c r="U421">
        <v>816</v>
      </c>
      <c r="V421">
        <v>776</v>
      </c>
      <c r="W421" t="s">
        <v>70</v>
      </c>
      <c r="X421">
        <v>3884000</v>
      </c>
      <c r="Y421">
        <v>9.7799999999999998E-2</v>
      </c>
      <c r="Z421">
        <v>33</v>
      </c>
      <c r="AA421" t="s">
        <v>64</v>
      </c>
      <c r="AB421" t="s">
        <v>38</v>
      </c>
      <c r="AC421" t="s">
        <v>54</v>
      </c>
      <c r="AD421">
        <v>31656</v>
      </c>
      <c r="AE421" t="b">
        <v>0</v>
      </c>
      <c r="AF421">
        <v>896203.84</v>
      </c>
    </row>
    <row r="422" spans="1:32" x14ac:dyDescent="0.3">
      <c r="A422" t="s">
        <v>967</v>
      </c>
      <c r="B422" t="s">
        <v>968</v>
      </c>
      <c r="C422" t="s">
        <v>103</v>
      </c>
      <c r="D422" t="s">
        <v>31</v>
      </c>
      <c r="E422">
        <v>1200500</v>
      </c>
      <c r="F422">
        <v>84</v>
      </c>
      <c r="G422">
        <v>12.1</v>
      </c>
      <c r="H422">
        <v>574206.21</v>
      </c>
      <c r="I422">
        <v>8</v>
      </c>
      <c r="J422">
        <v>0</v>
      </c>
      <c r="K422">
        <v>0</v>
      </c>
      <c r="L422">
        <v>1</v>
      </c>
      <c r="M422">
        <v>142117484.08000001</v>
      </c>
      <c r="N422" s="1">
        <v>45596</v>
      </c>
      <c r="O422" t="s">
        <v>139</v>
      </c>
      <c r="P422" t="s">
        <v>33</v>
      </c>
      <c r="Q422" s="1">
        <v>44218</v>
      </c>
      <c r="R422" t="s">
        <v>61</v>
      </c>
      <c r="S422" t="s">
        <v>136</v>
      </c>
      <c r="T422">
        <v>2021</v>
      </c>
      <c r="U422">
        <v>817</v>
      </c>
      <c r="V422">
        <v>799</v>
      </c>
      <c r="W422" t="s">
        <v>57</v>
      </c>
      <c r="X422">
        <v>2189000</v>
      </c>
      <c r="Y422">
        <v>0.11650000000000001</v>
      </c>
      <c r="Z422">
        <v>62</v>
      </c>
      <c r="AA422" t="s">
        <v>53</v>
      </c>
      <c r="AB422" t="s">
        <v>38</v>
      </c>
      <c r="AC422" t="s">
        <v>54</v>
      </c>
      <c r="AD422">
        <v>21256.36</v>
      </c>
      <c r="AE422" t="b">
        <v>0</v>
      </c>
      <c r="AF422">
        <v>639507.13</v>
      </c>
    </row>
    <row r="423" spans="1:32" x14ac:dyDescent="0.3">
      <c r="A423" t="s">
        <v>969</v>
      </c>
      <c r="B423" t="s">
        <v>970</v>
      </c>
      <c r="C423" t="s">
        <v>42</v>
      </c>
      <c r="D423" t="s">
        <v>31</v>
      </c>
      <c r="E423">
        <v>672600</v>
      </c>
      <c r="F423">
        <v>36</v>
      </c>
      <c r="G423">
        <v>8.6300000000000008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142117484.08000001</v>
      </c>
      <c r="N423" s="1">
        <v>45596</v>
      </c>
      <c r="O423" t="s">
        <v>32</v>
      </c>
      <c r="P423" t="s">
        <v>74</v>
      </c>
      <c r="Q423" s="1">
        <v>44414</v>
      </c>
      <c r="R423" t="s">
        <v>68</v>
      </c>
      <c r="S423" t="s">
        <v>133</v>
      </c>
      <c r="T423">
        <v>2021</v>
      </c>
      <c r="U423">
        <v>817</v>
      </c>
      <c r="V423">
        <v>818</v>
      </c>
      <c r="W423" t="s">
        <v>70</v>
      </c>
      <c r="X423">
        <v>354000</v>
      </c>
      <c r="Y423">
        <v>0.72109999999999996</v>
      </c>
      <c r="Z423">
        <v>49</v>
      </c>
      <c r="AA423" t="s">
        <v>162</v>
      </c>
      <c r="AB423" t="s">
        <v>38</v>
      </c>
      <c r="AC423" t="s">
        <v>81</v>
      </c>
      <c r="AD423">
        <v>21272.86</v>
      </c>
      <c r="AE423" t="b">
        <v>0</v>
      </c>
      <c r="AF423">
        <v>458907.65</v>
      </c>
    </row>
    <row r="424" spans="1:32" x14ac:dyDescent="0.3">
      <c r="A424" t="s">
        <v>971</v>
      </c>
      <c r="B424" t="s">
        <v>972</v>
      </c>
      <c r="C424" t="s">
        <v>98</v>
      </c>
      <c r="D424" t="s">
        <v>31</v>
      </c>
      <c r="E424">
        <v>809800</v>
      </c>
      <c r="F424">
        <v>72</v>
      </c>
      <c r="G424">
        <v>12.26</v>
      </c>
      <c r="H424">
        <v>588672.24</v>
      </c>
      <c r="I424">
        <v>0</v>
      </c>
      <c r="J424">
        <v>0</v>
      </c>
      <c r="K424">
        <v>0</v>
      </c>
      <c r="L424">
        <v>1</v>
      </c>
      <c r="M424">
        <v>142117484.08000001</v>
      </c>
      <c r="N424" s="1">
        <v>45596</v>
      </c>
      <c r="O424" t="s">
        <v>32</v>
      </c>
      <c r="P424" t="s">
        <v>50</v>
      </c>
      <c r="Q424" s="1">
        <v>44958</v>
      </c>
      <c r="R424" t="s">
        <v>85</v>
      </c>
      <c r="S424" t="s">
        <v>86</v>
      </c>
      <c r="T424">
        <v>2023</v>
      </c>
      <c r="U424">
        <v>817</v>
      </c>
      <c r="V424">
        <v>801</v>
      </c>
      <c r="W424" t="s">
        <v>63</v>
      </c>
      <c r="X424">
        <v>4719000</v>
      </c>
      <c r="Y424">
        <v>4.0500000000000001E-2</v>
      </c>
      <c r="Z424">
        <v>42</v>
      </c>
      <c r="AA424" t="s">
        <v>162</v>
      </c>
      <c r="AB424" t="s">
        <v>38</v>
      </c>
      <c r="AC424" t="s">
        <v>81</v>
      </c>
      <c r="AD424">
        <v>15941.45</v>
      </c>
      <c r="AE424" t="b">
        <v>0</v>
      </c>
      <c r="AF424">
        <v>681178.17</v>
      </c>
    </row>
    <row r="425" spans="1:32" x14ac:dyDescent="0.3">
      <c r="A425" t="s">
        <v>973</v>
      </c>
      <c r="B425" t="s">
        <v>974</v>
      </c>
      <c r="C425" t="s">
        <v>30</v>
      </c>
      <c r="D425" t="s">
        <v>31</v>
      </c>
      <c r="E425">
        <v>1048600</v>
      </c>
      <c r="F425">
        <v>60</v>
      </c>
      <c r="G425">
        <v>11.42</v>
      </c>
      <c r="H425">
        <v>693181.17</v>
      </c>
      <c r="I425">
        <v>0</v>
      </c>
      <c r="J425">
        <v>0</v>
      </c>
      <c r="K425">
        <v>0</v>
      </c>
      <c r="L425">
        <v>1</v>
      </c>
      <c r="M425">
        <v>142117484.08000001</v>
      </c>
      <c r="N425" s="1">
        <v>45596</v>
      </c>
      <c r="O425" t="s">
        <v>32</v>
      </c>
      <c r="P425" t="s">
        <v>74</v>
      </c>
      <c r="Q425" s="1">
        <v>44899</v>
      </c>
      <c r="R425" t="s">
        <v>99</v>
      </c>
      <c r="S425" t="s">
        <v>497</v>
      </c>
      <c r="T425">
        <v>2022</v>
      </c>
      <c r="U425">
        <v>818</v>
      </c>
      <c r="V425">
        <v>823</v>
      </c>
      <c r="W425" t="s">
        <v>63</v>
      </c>
      <c r="X425">
        <v>1176000</v>
      </c>
      <c r="Y425">
        <v>0.2349</v>
      </c>
      <c r="Z425">
        <v>48</v>
      </c>
      <c r="AA425" t="s">
        <v>162</v>
      </c>
      <c r="AB425" t="s">
        <v>38</v>
      </c>
      <c r="AC425" t="s">
        <v>39</v>
      </c>
      <c r="AD425">
        <v>23019.360000000001</v>
      </c>
      <c r="AE425" t="b">
        <v>0</v>
      </c>
      <c r="AF425">
        <v>914043.14</v>
      </c>
    </row>
    <row r="426" spans="1:32" x14ac:dyDescent="0.3">
      <c r="A426" t="s">
        <v>975</v>
      </c>
      <c r="B426" t="s">
        <v>976</v>
      </c>
      <c r="C426" t="s">
        <v>30</v>
      </c>
      <c r="D426" t="s">
        <v>84</v>
      </c>
      <c r="E426">
        <v>360100</v>
      </c>
      <c r="F426">
        <v>36</v>
      </c>
      <c r="G426">
        <v>11.04</v>
      </c>
      <c r="H426">
        <v>114575.89</v>
      </c>
      <c r="I426">
        <v>0</v>
      </c>
      <c r="J426">
        <v>0</v>
      </c>
      <c r="K426">
        <v>0</v>
      </c>
      <c r="L426">
        <v>1</v>
      </c>
      <c r="M426">
        <v>142117484.08000001</v>
      </c>
      <c r="N426" s="1">
        <v>45596</v>
      </c>
      <c r="O426" t="s">
        <v>32</v>
      </c>
      <c r="P426" t="s">
        <v>74</v>
      </c>
      <c r="Q426" s="1">
        <v>44840</v>
      </c>
      <c r="R426" t="s">
        <v>99</v>
      </c>
      <c r="S426" t="s">
        <v>100</v>
      </c>
      <c r="T426">
        <v>2020</v>
      </c>
      <c r="U426">
        <v>818</v>
      </c>
      <c r="V426">
        <v>768</v>
      </c>
      <c r="W426" t="s">
        <v>70</v>
      </c>
      <c r="X426">
        <v>4892000</v>
      </c>
      <c r="Y426">
        <v>2.8899999999999999E-2</v>
      </c>
      <c r="Z426">
        <v>34</v>
      </c>
      <c r="AA426" t="s">
        <v>71</v>
      </c>
      <c r="AB426" t="s">
        <v>38</v>
      </c>
      <c r="AC426" t="s">
        <v>81</v>
      </c>
      <c r="AD426">
        <v>11796.03</v>
      </c>
      <c r="AE426" t="b">
        <v>0</v>
      </c>
      <c r="AF426">
        <v>281292.81</v>
      </c>
    </row>
    <row r="427" spans="1:32" x14ac:dyDescent="0.3">
      <c r="A427" t="s">
        <v>977</v>
      </c>
      <c r="B427" t="s">
        <v>978</v>
      </c>
      <c r="C427" t="s">
        <v>42</v>
      </c>
      <c r="D427" t="s">
        <v>31</v>
      </c>
      <c r="E427">
        <v>360500</v>
      </c>
      <c r="F427">
        <v>72</v>
      </c>
      <c r="G427">
        <v>10.97</v>
      </c>
      <c r="H427">
        <v>340179.07</v>
      </c>
      <c r="I427">
        <v>0</v>
      </c>
      <c r="J427">
        <v>0</v>
      </c>
      <c r="K427">
        <v>0</v>
      </c>
      <c r="L427">
        <v>1</v>
      </c>
      <c r="M427">
        <v>142117484.08000001</v>
      </c>
      <c r="N427" s="1">
        <v>45596</v>
      </c>
      <c r="O427" t="s">
        <v>32</v>
      </c>
      <c r="P427" t="s">
        <v>74</v>
      </c>
      <c r="Q427" s="1">
        <v>45401</v>
      </c>
      <c r="R427" t="s">
        <v>85</v>
      </c>
      <c r="S427" t="s">
        <v>130</v>
      </c>
      <c r="T427">
        <v>2024</v>
      </c>
      <c r="U427">
        <v>818</v>
      </c>
      <c r="V427">
        <v>823</v>
      </c>
      <c r="W427" t="s">
        <v>57</v>
      </c>
      <c r="X427">
        <v>1386000</v>
      </c>
      <c r="Y427">
        <v>5.9400000000000001E-2</v>
      </c>
      <c r="Z427">
        <v>50</v>
      </c>
      <c r="AA427" t="s">
        <v>53</v>
      </c>
      <c r="AB427" t="s">
        <v>38</v>
      </c>
      <c r="AC427" t="s">
        <v>81</v>
      </c>
      <c r="AD427">
        <v>6856.25</v>
      </c>
      <c r="AE427" t="b">
        <v>0</v>
      </c>
      <c r="AF427">
        <v>393161.62</v>
      </c>
    </row>
    <row r="428" spans="1:32" x14ac:dyDescent="0.3">
      <c r="A428" t="s">
        <v>979</v>
      </c>
      <c r="B428" t="s">
        <v>980</v>
      </c>
      <c r="C428" t="s">
        <v>103</v>
      </c>
      <c r="D428" t="s">
        <v>31</v>
      </c>
      <c r="E428">
        <v>2313400</v>
      </c>
      <c r="F428">
        <v>84</v>
      </c>
      <c r="G428">
        <v>11.41</v>
      </c>
      <c r="H428">
        <v>1883760.71</v>
      </c>
      <c r="I428">
        <v>0</v>
      </c>
      <c r="J428">
        <v>0</v>
      </c>
      <c r="K428">
        <v>0</v>
      </c>
      <c r="L428">
        <v>1</v>
      </c>
      <c r="M428">
        <v>142117484.08000001</v>
      </c>
      <c r="N428" s="1">
        <v>45596</v>
      </c>
      <c r="O428" t="s">
        <v>32</v>
      </c>
      <c r="P428" t="s">
        <v>44</v>
      </c>
      <c r="Q428" s="1">
        <v>45209</v>
      </c>
      <c r="R428" t="s">
        <v>94</v>
      </c>
      <c r="S428" t="s">
        <v>95</v>
      </c>
      <c r="T428">
        <v>2023</v>
      </c>
      <c r="U428">
        <v>818</v>
      </c>
      <c r="V428">
        <v>818</v>
      </c>
      <c r="W428" t="s">
        <v>57</v>
      </c>
      <c r="X428">
        <v>1597000</v>
      </c>
      <c r="Y428">
        <v>0.3014</v>
      </c>
      <c r="Z428">
        <v>45</v>
      </c>
      <c r="AA428" t="s">
        <v>71</v>
      </c>
      <c r="AB428" t="s">
        <v>38</v>
      </c>
      <c r="AC428" t="s">
        <v>54</v>
      </c>
      <c r="AD428">
        <v>40111.51</v>
      </c>
      <c r="AE428" t="b">
        <v>0</v>
      </c>
      <c r="AF428">
        <v>2087052.47</v>
      </c>
    </row>
    <row r="429" spans="1:32" x14ac:dyDescent="0.3">
      <c r="A429" t="s">
        <v>981</v>
      </c>
      <c r="B429" t="s">
        <v>982</v>
      </c>
      <c r="C429" t="s">
        <v>30</v>
      </c>
      <c r="D429" t="s">
        <v>31</v>
      </c>
      <c r="E429">
        <v>1455700</v>
      </c>
      <c r="F429">
        <v>72</v>
      </c>
      <c r="G429">
        <v>10.119999999999999</v>
      </c>
      <c r="H429">
        <v>647881.55000000005</v>
      </c>
      <c r="I429">
        <v>0</v>
      </c>
      <c r="J429">
        <v>0</v>
      </c>
      <c r="K429">
        <v>0</v>
      </c>
      <c r="L429">
        <v>1</v>
      </c>
      <c r="M429">
        <v>142117484.08000001</v>
      </c>
      <c r="N429" s="1">
        <v>45596</v>
      </c>
      <c r="O429" t="s">
        <v>32</v>
      </c>
      <c r="P429" t="s">
        <v>33</v>
      </c>
      <c r="Q429" s="1">
        <v>44338</v>
      </c>
      <c r="R429" t="s">
        <v>68</v>
      </c>
      <c r="S429" t="s">
        <v>133</v>
      </c>
      <c r="T429">
        <v>2021</v>
      </c>
      <c r="U429">
        <v>819</v>
      </c>
      <c r="V429">
        <v>838</v>
      </c>
      <c r="W429" t="s">
        <v>70</v>
      </c>
      <c r="X429">
        <v>677000</v>
      </c>
      <c r="Y429">
        <v>0.47960000000000003</v>
      </c>
      <c r="Z429">
        <v>49</v>
      </c>
      <c r="AA429" t="s">
        <v>71</v>
      </c>
      <c r="AB429" t="s">
        <v>38</v>
      </c>
      <c r="AC429" t="s">
        <v>81</v>
      </c>
      <c r="AD429">
        <v>27056.240000000002</v>
      </c>
      <c r="AE429" t="b">
        <v>0</v>
      </c>
      <c r="AF429">
        <v>926443.38</v>
      </c>
    </row>
    <row r="430" spans="1:32" x14ac:dyDescent="0.3">
      <c r="A430" t="s">
        <v>983</v>
      </c>
      <c r="B430" t="s">
        <v>984</v>
      </c>
      <c r="C430" t="s">
        <v>67</v>
      </c>
      <c r="D430" t="s">
        <v>31</v>
      </c>
      <c r="E430">
        <v>815500</v>
      </c>
      <c r="F430">
        <v>48</v>
      </c>
      <c r="G430">
        <v>11.97</v>
      </c>
      <c r="H430">
        <v>142244.76</v>
      </c>
      <c r="I430">
        <v>0</v>
      </c>
      <c r="J430">
        <v>0</v>
      </c>
      <c r="K430">
        <v>0</v>
      </c>
      <c r="L430">
        <v>1</v>
      </c>
      <c r="M430">
        <v>142117484.08000001</v>
      </c>
      <c r="N430" s="1">
        <v>45596</v>
      </c>
      <c r="O430" t="s">
        <v>32</v>
      </c>
      <c r="P430" t="s">
        <v>74</v>
      </c>
      <c r="Q430" s="1">
        <v>44376</v>
      </c>
      <c r="R430" t="s">
        <v>51</v>
      </c>
      <c r="S430" t="s">
        <v>194</v>
      </c>
      <c r="T430">
        <v>2021</v>
      </c>
      <c r="U430">
        <v>819</v>
      </c>
      <c r="V430">
        <v>802</v>
      </c>
      <c r="W430" t="s">
        <v>36</v>
      </c>
      <c r="X430">
        <v>2672000</v>
      </c>
      <c r="Y430">
        <v>9.64E-2</v>
      </c>
      <c r="Z430">
        <v>32</v>
      </c>
      <c r="AA430" t="s">
        <v>197</v>
      </c>
      <c r="AB430" t="s">
        <v>38</v>
      </c>
      <c r="AC430" t="s">
        <v>81</v>
      </c>
      <c r="AD430">
        <v>21463.23</v>
      </c>
      <c r="AE430" t="b">
        <v>0</v>
      </c>
      <c r="AF430">
        <v>684302.13</v>
      </c>
    </row>
    <row r="431" spans="1:32" x14ac:dyDescent="0.3">
      <c r="A431" t="s">
        <v>985</v>
      </c>
      <c r="B431" t="s">
        <v>986</v>
      </c>
      <c r="C431" t="s">
        <v>42</v>
      </c>
      <c r="D431" t="s">
        <v>31</v>
      </c>
      <c r="E431">
        <v>732800</v>
      </c>
      <c r="F431">
        <v>72</v>
      </c>
      <c r="G431">
        <v>12.7</v>
      </c>
      <c r="H431">
        <v>401804.85</v>
      </c>
      <c r="I431">
        <v>0</v>
      </c>
      <c r="J431">
        <v>0</v>
      </c>
      <c r="K431">
        <v>0</v>
      </c>
      <c r="L431">
        <v>1</v>
      </c>
      <c r="M431">
        <v>142117484.08000001</v>
      </c>
      <c r="N431" s="1">
        <v>45596</v>
      </c>
      <c r="O431" t="s">
        <v>32</v>
      </c>
      <c r="P431" t="s">
        <v>74</v>
      </c>
      <c r="Q431" s="1">
        <v>44645</v>
      </c>
      <c r="R431" t="s">
        <v>34</v>
      </c>
      <c r="S431" t="s">
        <v>145</v>
      </c>
      <c r="T431">
        <v>2022</v>
      </c>
      <c r="U431">
        <v>819</v>
      </c>
      <c r="V431">
        <v>777</v>
      </c>
      <c r="W431" t="s">
        <v>57</v>
      </c>
      <c r="X431">
        <v>2020000</v>
      </c>
      <c r="Y431">
        <v>8.6699999999999999E-2</v>
      </c>
      <c r="Z431">
        <v>43</v>
      </c>
      <c r="AA431" t="s">
        <v>104</v>
      </c>
      <c r="AB431" t="s">
        <v>38</v>
      </c>
      <c r="AC431" t="s">
        <v>39</v>
      </c>
      <c r="AD431">
        <v>14594.53</v>
      </c>
      <c r="AE431" t="b">
        <v>0</v>
      </c>
      <c r="AF431">
        <v>566913.05000000005</v>
      </c>
    </row>
    <row r="432" spans="1:32" x14ac:dyDescent="0.3">
      <c r="A432" t="s">
        <v>987</v>
      </c>
      <c r="B432" t="s">
        <v>988</v>
      </c>
      <c r="C432" t="s">
        <v>42</v>
      </c>
      <c r="D432" t="s">
        <v>31</v>
      </c>
      <c r="E432">
        <v>904300</v>
      </c>
      <c r="F432">
        <v>36</v>
      </c>
      <c r="G432">
        <v>7.97</v>
      </c>
      <c r="H432">
        <v>642669.62</v>
      </c>
      <c r="I432">
        <v>0</v>
      </c>
      <c r="J432">
        <v>0</v>
      </c>
      <c r="K432">
        <v>0</v>
      </c>
      <c r="L432">
        <v>1</v>
      </c>
      <c r="M432">
        <v>142117484.08000001</v>
      </c>
      <c r="N432" s="1">
        <v>45596</v>
      </c>
      <c r="O432" t="s">
        <v>32</v>
      </c>
      <c r="P432" t="s">
        <v>44</v>
      </c>
      <c r="Q432" s="1">
        <v>45252</v>
      </c>
      <c r="R432" t="s">
        <v>45</v>
      </c>
      <c r="S432" t="s">
        <v>107</v>
      </c>
      <c r="T432">
        <v>2023</v>
      </c>
      <c r="U432">
        <v>819</v>
      </c>
      <c r="V432">
        <v>786</v>
      </c>
      <c r="W432" t="s">
        <v>70</v>
      </c>
      <c r="X432">
        <v>4286000</v>
      </c>
      <c r="Y432">
        <v>7.9299999999999995E-2</v>
      </c>
      <c r="Z432">
        <v>32</v>
      </c>
      <c r="AA432" t="s">
        <v>64</v>
      </c>
      <c r="AB432" t="s">
        <v>38</v>
      </c>
      <c r="AC432" t="s">
        <v>39</v>
      </c>
      <c r="AD432">
        <v>28324.959999999999</v>
      </c>
      <c r="AE432" t="b">
        <v>0</v>
      </c>
      <c r="AF432">
        <v>983150.97</v>
      </c>
    </row>
    <row r="433" spans="1:32" x14ac:dyDescent="0.3">
      <c r="A433" t="s">
        <v>989</v>
      </c>
      <c r="B433" t="s">
        <v>990</v>
      </c>
      <c r="C433" t="s">
        <v>42</v>
      </c>
      <c r="D433" t="s">
        <v>31</v>
      </c>
      <c r="E433">
        <v>678300</v>
      </c>
      <c r="F433">
        <v>60</v>
      </c>
      <c r="G433">
        <v>12.17</v>
      </c>
      <c r="H433">
        <v>203824.87</v>
      </c>
      <c r="I433">
        <v>0</v>
      </c>
      <c r="J433">
        <v>0</v>
      </c>
      <c r="K433">
        <v>0</v>
      </c>
      <c r="L433">
        <v>1</v>
      </c>
      <c r="M433">
        <v>142117484.08000001</v>
      </c>
      <c r="N433" s="1">
        <v>45596</v>
      </c>
      <c r="O433" t="s">
        <v>32</v>
      </c>
      <c r="P433" t="s">
        <v>74</v>
      </c>
      <c r="Q433" s="1">
        <v>44340</v>
      </c>
      <c r="R433" t="s">
        <v>61</v>
      </c>
      <c r="S433" t="s">
        <v>75</v>
      </c>
      <c r="T433">
        <v>2021</v>
      </c>
      <c r="U433">
        <v>820</v>
      </c>
      <c r="V433">
        <v>818</v>
      </c>
      <c r="W433" t="s">
        <v>63</v>
      </c>
      <c r="X433">
        <v>1202000</v>
      </c>
      <c r="Y433">
        <v>0.1512</v>
      </c>
      <c r="Z433">
        <v>43</v>
      </c>
      <c r="AA433" t="s">
        <v>226</v>
      </c>
      <c r="AB433" t="s">
        <v>38</v>
      </c>
      <c r="AC433" t="s">
        <v>54</v>
      </c>
      <c r="AD433">
        <v>15146.74</v>
      </c>
      <c r="AE433" t="b">
        <v>0</v>
      </c>
      <c r="AF433">
        <v>504221.94</v>
      </c>
    </row>
    <row r="434" spans="1:32" x14ac:dyDescent="0.3">
      <c r="A434" t="s">
        <v>991</v>
      </c>
      <c r="B434" t="s">
        <v>992</v>
      </c>
      <c r="C434" t="s">
        <v>98</v>
      </c>
      <c r="D434" t="s">
        <v>43</v>
      </c>
      <c r="E434">
        <v>384000</v>
      </c>
      <c r="F434">
        <v>60</v>
      </c>
      <c r="G434">
        <v>12.77</v>
      </c>
      <c r="H434">
        <v>182527.03</v>
      </c>
      <c r="I434">
        <v>8</v>
      </c>
      <c r="J434">
        <v>0</v>
      </c>
      <c r="K434">
        <v>0</v>
      </c>
      <c r="L434">
        <v>1</v>
      </c>
      <c r="M434">
        <v>142117484.08000001</v>
      </c>
      <c r="N434" s="1">
        <v>45596</v>
      </c>
      <c r="O434" t="s">
        <v>139</v>
      </c>
      <c r="P434" t="s">
        <v>50</v>
      </c>
      <c r="Q434" s="1">
        <v>44640</v>
      </c>
      <c r="R434" t="s">
        <v>85</v>
      </c>
      <c r="S434" t="s">
        <v>130</v>
      </c>
      <c r="T434">
        <v>2017</v>
      </c>
      <c r="U434">
        <v>820</v>
      </c>
      <c r="V434">
        <v>805</v>
      </c>
      <c r="W434" t="s">
        <v>57</v>
      </c>
      <c r="X434">
        <v>1886000</v>
      </c>
      <c r="Y434">
        <v>5.5300000000000002E-2</v>
      </c>
      <c r="Z434">
        <v>25</v>
      </c>
      <c r="AA434" t="s">
        <v>58</v>
      </c>
      <c r="AB434" t="s">
        <v>38</v>
      </c>
      <c r="AC434" t="s">
        <v>81</v>
      </c>
      <c r="AD434">
        <v>8692.0300000000007</v>
      </c>
      <c r="AE434" t="b">
        <v>0</v>
      </c>
      <c r="AF434">
        <v>428828.25</v>
      </c>
    </row>
    <row r="435" spans="1:32" x14ac:dyDescent="0.3">
      <c r="A435" t="s">
        <v>993</v>
      </c>
      <c r="B435" t="s">
        <v>994</v>
      </c>
      <c r="C435" t="s">
        <v>98</v>
      </c>
      <c r="D435" t="s">
        <v>31</v>
      </c>
      <c r="E435">
        <v>1251200</v>
      </c>
      <c r="F435">
        <v>72</v>
      </c>
      <c r="G435">
        <v>11.78</v>
      </c>
      <c r="H435">
        <v>583784.27</v>
      </c>
      <c r="I435">
        <v>0</v>
      </c>
      <c r="J435">
        <v>0</v>
      </c>
      <c r="K435">
        <v>0</v>
      </c>
      <c r="L435">
        <v>1</v>
      </c>
      <c r="M435">
        <v>142117484.08000001</v>
      </c>
      <c r="N435" s="1">
        <v>45596</v>
      </c>
      <c r="O435" t="s">
        <v>32</v>
      </c>
      <c r="P435" t="s">
        <v>33</v>
      </c>
      <c r="Q435" s="1">
        <v>44430</v>
      </c>
      <c r="R435" t="s">
        <v>51</v>
      </c>
      <c r="S435" t="s">
        <v>194</v>
      </c>
      <c r="T435">
        <v>2021</v>
      </c>
      <c r="U435">
        <v>822</v>
      </c>
      <c r="V435">
        <v>810</v>
      </c>
      <c r="W435" t="s">
        <v>70</v>
      </c>
      <c r="X435">
        <v>3202000</v>
      </c>
      <c r="Y435">
        <v>9.11E-2</v>
      </c>
      <c r="Z435">
        <v>47</v>
      </c>
      <c r="AA435" t="s">
        <v>53</v>
      </c>
      <c r="AB435" t="s">
        <v>38</v>
      </c>
      <c r="AC435" t="s">
        <v>54</v>
      </c>
      <c r="AD435">
        <v>24318.29</v>
      </c>
      <c r="AE435" t="b">
        <v>0</v>
      </c>
      <c r="AF435">
        <v>969605.02</v>
      </c>
    </row>
    <row r="436" spans="1:32" x14ac:dyDescent="0.3">
      <c r="A436" t="s">
        <v>995</v>
      </c>
      <c r="B436" t="s">
        <v>996</v>
      </c>
      <c r="C436" t="s">
        <v>30</v>
      </c>
      <c r="D436" t="s">
        <v>31</v>
      </c>
      <c r="E436">
        <v>1042900</v>
      </c>
      <c r="F436">
        <v>48</v>
      </c>
      <c r="G436">
        <v>10.73</v>
      </c>
      <c r="H436">
        <v>163056.82</v>
      </c>
      <c r="I436">
        <v>0</v>
      </c>
      <c r="J436">
        <v>0</v>
      </c>
      <c r="K436">
        <v>0</v>
      </c>
      <c r="L436">
        <v>1</v>
      </c>
      <c r="M436">
        <v>142117484.08000001</v>
      </c>
      <c r="N436" s="1">
        <v>45596</v>
      </c>
      <c r="O436" t="s">
        <v>32</v>
      </c>
      <c r="P436" t="s">
        <v>33</v>
      </c>
      <c r="Q436" s="1">
        <v>44358</v>
      </c>
      <c r="R436" t="s">
        <v>45</v>
      </c>
      <c r="S436" t="s">
        <v>107</v>
      </c>
      <c r="T436">
        <v>2021</v>
      </c>
      <c r="U436">
        <v>823</v>
      </c>
      <c r="V436">
        <v>842</v>
      </c>
      <c r="W436" t="s">
        <v>70</v>
      </c>
      <c r="X436">
        <v>4536000</v>
      </c>
      <c r="Y436">
        <v>7.0900000000000005E-2</v>
      </c>
      <c r="Z436">
        <v>25</v>
      </c>
      <c r="AA436" t="s">
        <v>91</v>
      </c>
      <c r="AB436" t="s">
        <v>38</v>
      </c>
      <c r="AC436" t="s">
        <v>39</v>
      </c>
      <c r="AD436">
        <v>26817.75</v>
      </c>
      <c r="AE436" t="b">
        <v>0</v>
      </c>
      <c r="AF436">
        <v>644020.11</v>
      </c>
    </row>
    <row r="437" spans="1:32" x14ac:dyDescent="0.3">
      <c r="A437" t="s">
        <v>997</v>
      </c>
      <c r="B437" t="s">
        <v>998</v>
      </c>
      <c r="C437" t="s">
        <v>42</v>
      </c>
      <c r="D437" t="s">
        <v>31</v>
      </c>
      <c r="E437">
        <v>592400</v>
      </c>
      <c r="F437">
        <v>48</v>
      </c>
      <c r="G437">
        <v>12.73</v>
      </c>
      <c r="H437">
        <v>264232.95</v>
      </c>
      <c r="I437">
        <v>33</v>
      </c>
      <c r="J437">
        <v>0</v>
      </c>
      <c r="K437">
        <v>0</v>
      </c>
      <c r="L437">
        <v>2</v>
      </c>
      <c r="M437">
        <v>142117484.08000001</v>
      </c>
      <c r="N437" s="1">
        <v>45596</v>
      </c>
      <c r="O437" t="s">
        <v>116</v>
      </c>
      <c r="P437" t="s">
        <v>74</v>
      </c>
      <c r="Q437" s="1">
        <v>44773</v>
      </c>
      <c r="R437" t="s">
        <v>68</v>
      </c>
      <c r="S437" t="s">
        <v>69</v>
      </c>
      <c r="T437">
        <v>2022</v>
      </c>
      <c r="U437">
        <v>823</v>
      </c>
      <c r="V437">
        <v>820</v>
      </c>
      <c r="W437" t="s">
        <v>36</v>
      </c>
      <c r="X437">
        <v>1234000</v>
      </c>
      <c r="Y437">
        <v>0.15379999999999999</v>
      </c>
      <c r="Z437">
        <v>58</v>
      </c>
      <c r="AA437" t="s">
        <v>197</v>
      </c>
      <c r="AB437" t="s">
        <v>38</v>
      </c>
      <c r="AC437" t="s">
        <v>54</v>
      </c>
      <c r="AD437">
        <v>15813.34</v>
      </c>
      <c r="AE437" t="b">
        <v>0</v>
      </c>
      <c r="AF437">
        <v>469794.42</v>
      </c>
    </row>
    <row r="438" spans="1:32" x14ac:dyDescent="0.3">
      <c r="A438" t="s">
        <v>999</v>
      </c>
      <c r="B438" t="s">
        <v>1000</v>
      </c>
      <c r="C438" t="s">
        <v>98</v>
      </c>
      <c r="D438" t="s">
        <v>31</v>
      </c>
      <c r="E438">
        <v>886600</v>
      </c>
      <c r="F438">
        <v>36</v>
      </c>
      <c r="G438">
        <v>11.18</v>
      </c>
      <c r="H438">
        <v>606839.63</v>
      </c>
      <c r="I438">
        <v>0</v>
      </c>
      <c r="J438">
        <v>0</v>
      </c>
      <c r="K438">
        <v>0</v>
      </c>
      <c r="L438">
        <v>1</v>
      </c>
      <c r="M438">
        <v>142117484.08000001</v>
      </c>
      <c r="N438" s="1">
        <v>45596</v>
      </c>
      <c r="O438" t="s">
        <v>32</v>
      </c>
      <c r="P438" t="s">
        <v>33</v>
      </c>
      <c r="Q438" s="1">
        <v>45238</v>
      </c>
      <c r="R438" t="s">
        <v>51</v>
      </c>
      <c r="S438" t="s">
        <v>194</v>
      </c>
      <c r="T438">
        <v>2023</v>
      </c>
      <c r="U438">
        <v>823</v>
      </c>
      <c r="V438">
        <v>785</v>
      </c>
      <c r="W438" t="s">
        <v>63</v>
      </c>
      <c r="X438">
        <v>3911000</v>
      </c>
      <c r="Y438">
        <v>8.9300000000000004E-2</v>
      </c>
      <c r="Z438">
        <v>26</v>
      </c>
      <c r="AA438" t="s">
        <v>104</v>
      </c>
      <c r="AB438" t="s">
        <v>38</v>
      </c>
      <c r="AC438" t="s">
        <v>39</v>
      </c>
      <c r="AD438">
        <v>29101.78</v>
      </c>
      <c r="AE438" t="b">
        <v>0</v>
      </c>
      <c r="AF438">
        <v>836034.23</v>
      </c>
    </row>
    <row r="439" spans="1:32" x14ac:dyDescent="0.3">
      <c r="A439" t="s">
        <v>1001</v>
      </c>
      <c r="B439" t="s">
        <v>1002</v>
      </c>
      <c r="C439" t="s">
        <v>42</v>
      </c>
      <c r="D439" t="s">
        <v>31</v>
      </c>
      <c r="E439">
        <v>369200</v>
      </c>
      <c r="F439">
        <v>36</v>
      </c>
      <c r="G439">
        <v>9.61</v>
      </c>
      <c r="H439">
        <v>154146.54999999999</v>
      </c>
      <c r="I439">
        <v>0</v>
      </c>
      <c r="J439">
        <v>0</v>
      </c>
      <c r="K439">
        <v>0</v>
      </c>
      <c r="L439">
        <v>1</v>
      </c>
      <c r="M439">
        <v>142117484.08000001</v>
      </c>
      <c r="N439" s="1">
        <v>45596</v>
      </c>
      <c r="O439" t="s">
        <v>32</v>
      </c>
      <c r="P439" t="s">
        <v>50</v>
      </c>
      <c r="Q439" s="1">
        <v>44960</v>
      </c>
      <c r="R439" t="s">
        <v>99</v>
      </c>
      <c r="S439" t="s">
        <v>200</v>
      </c>
      <c r="T439">
        <v>2023</v>
      </c>
      <c r="U439">
        <v>824</v>
      </c>
      <c r="V439">
        <v>777</v>
      </c>
      <c r="W439" t="s">
        <v>57</v>
      </c>
      <c r="X439">
        <v>2335000</v>
      </c>
      <c r="Y439">
        <v>6.0900000000000003E-2</v>
      </c>
      <c r="Z439">
        <v>36</v>
      </c>
      <c r="AA439" t="s">
        <v>80</v>
      </c>
      <c r="AB439" t="s">
        <v>38</v>
      </c>
      <c r="AC439" t="s">
        <v>81</v>
      </c>
      <c r="AD439">
        <v>11845.56</v>
      </c>
      <c r="AE439" t="b">
        <v>0</v>
      </c>
      <c r="AF439">
        <v>458043.84</v>
      </c>
    </row>
    <row r="440" spans="1:32" x14ac:dyDescent="0.3">
      <c r="A440" t="s">
        <v>1003</v>
      </c>
      <c r="B440" t="s">
        <v>1004</v>
      </c>
      <c r="C440" t="s">
        <v>103</v>
      </c>
      <c r="D440" t="s">
        <v>31</v>
      </c>
      <c r="E440">
        <v>2793300</v>
      </c>
      <c r="F440">
        <v>72</v>
      </c>
      <c r="G440">
        <v>14.18</v>
      </c>
      <c r="H440">
        <v>1696808.5</v>
      </c>
      <c r="I440">
        <v>0</v>
      </c>
      <c r="J440">
        <v>0</v>
      </c>
      <c r="K440">
        <v>0</v>
      </c>
      <c r="L440">
        <v>1</v>
      </c>
      <c r="M440">
        <v>142117484.08000001</v>
      </c>
      <c r="N440" s="1">
        <v>45596</v>
      </c>
      <c r="O440" t="s">
        <v>32</v>
      </c>
      <c r="P440" t="s">
        <v>50</v>
      </c>
      <c r="Q440" s="1">
        <v>44739</v>
      </c>
      <c r="R440" t="s">
        <v>61</v>
      </c>
      <c r="S440" t="s">
        <v>62</v>
      </c>
      <c r="T440">
        <v>2022</v>
      </c>
      <c r="U440">
        <v>825</v>
      </c>
      <c r="V440">
        <v>811</v>
      </c>
      <c r="W440" t="s">
        <v>57</v>
      </c>
      <c r="X440">
        <v>1010000</v>
      </c>
      <c r="Y440">
        <v>0.68710000000000004</v>
      </c>
      <c r="Z440">
        <v>55</v>
      </c>
      <c r="AA440" t="s">
        <v>91</v>
      </c>
      <c r="AB440" t="s">
        <v>38</v>
      </c>
      <c r="AC440" t="s">
        <v>81</v>
      </c>
      <c r="AD440">
        <v>57827.59</v>
      </c>
      <c r="AE440" t="b">
        <v>0</v>
      </c>
      <c r="AF440">
        <v>1923159.04</v>
      </c>
    </row>
    <row r="441" spans="1:32" x14ac:dyDescent="0.3">
      <c r="A441" t="s">
        <v>1005</v>
      </c>
      <c r="B441" t="s">
        <v>1006</v>
      </c>
      <c r="C441" t="s">
        <v>103</v>
      </c>
      <c r="D441" t="s">
        <v>84</v>
      </c>
      <c r="E441">
        <v>1393200</v>
      </c>
      <c r="F441">
        <v>72</v>
      </c>
      <c r="G441">
        <v>13.72</v>
      </c>
      <c r="H441">
        <v>1215906.47</v>
      </c>
      <c r="I441">
        <v>0</v>
      </c>
      <c r="J441">
        <v>0</v>
      </c>
      <c r="K441">
        <v>0</v>
      </c>
      <c r="L441">
        <v>1</v>
      </c>
      <c r="M441">
        <v>142117484.08000001</v>
      </c>
      <c r="N441" s="1">
        <v>45596</v>
      </c>
      <c r="O441" t="s">
        <v>32</v>
      </c>
      <c r="P441" t="s">
        <v>74</v>
      </c>
      <c r="Q441" s="1">
        <v>45351</v>
      </c>
      <c r="R441" t="s">
        <v>171</v>
      </c>
      <c r="S441" t="s">
        <v>398</v>
      </c>
      <c r="T441">
        <v>2019</v>
      </c>
      <c r="U441">
        <v>825</v>
      </c>
      <c r="V441">
        <v>826</v>
      </c>
      <c r="W441" t="s">
        <v>70</v>
      </c>
      <c r="X441">
        <v>1451000</v>
      </c>
      <c r="Y441">
        <v>0.23569999999999999</v>
      </c>
      <c r="Z441">
        <v>41</v>
      </c>
      <c r="AA441" t="s">
        <v>233</v>
      </c>
      <c r="AB441" t="s">
        <v>38</v>
      </c>
      <c r="AC441" t="s">
        <v>39</v>
      </c>
      <c r="AD441">
        <v>28499.45</v>
      </c>
      <c r="AE441" t="b">
        <v>0</v>
      </c>
      <c r="AF441">
        <v>1627581.21</v>
      </c>
    </row>
    <row r="442" spans="1:32" x14ac:dyDescent="0.3">
      <c r="A442" t="s">
        <v>1007</v>
      </c>
      <c r="B442" t="s">
        <v>1008</v>
      </c>
      <c r="C442" t="s">
        <v>103</v>
      </c>
      <c r="D442" t="s">
        <v>31</v>
      </c>
      <c r="E442">
        <v>2096600</v>
      </c>
      <c r="F442">
        <v>72</v>
      </c>
      <c r="G442">
        <v>8.44</v>
      </c>
      <c r="H442">
        <v>850677.86</v>
      </c>
      <c r="I442">
        <v>0</v>
      </c>
      <c r="J442">
        <v>0</v>
      </c>
      <c r="K442">
        <v>0</v>
      </c>
      <c r="L442">
        <v>1</v>
      </c>
      <c r="M442">
        <v>142117484.08000001</v>
      </c>
      <c r="N442" s="1">
        <v>45596</v>
      </c>
      <c r="O442" t="s">
        <v>32</v>
      </c>
      <c r="P442" t="s">
        <v>74</v>
      </c>
      <c r="Q442" s="1">
        <v>44264</v>
      </c>
      <c r="R442" t="s">
        <v>89</v>
      </c>
      <c r="S442" t="s">
        <v>358</v>
      </c>
      <c r="T442">
        <v>2021</v>
      </c>
      <c r="U442">
        <v>825</v>
      </c>
      <c r="V442">
        <v>844</v>
      </c>
      <c r="W442" t="s">
        <v>70</v>
      </c>
      <c r="X442">
        <v>3402000</v>
      </c>
      <c r="Y442">
        <v>0.1313</v>
      </c>
      <c r="Z442">
        <v>32</v>
      </c>
      <c r="AA442" t="s">
        <v>108</v>
      </c>
      <c r="AB442" t="s">
        <v>38</v>
      </c>
      <c r="AC442" t="s">
        <v>81</v>
      </c>
      <c r="AD442">
        <v>37212.26</v>
      </c>
      <c r="AE442" t="b">
        <v>0</v>
      </c>
      <c r="AF442">
        <v>1625340.12</v>
      </c>
    </row>
    <row r="443" spans="1:32" x14ac:dyDescent="0.3">
      <c r="A443" t="s">
        <v>1009</v>
      </c>
      <c r="B443" t="s">
        <v>1010</v>
      </c>
      <c r="C443" t="s">
        <v>103</v>
      </c>
      <c r="D443" t="s">
        <v>31</v>
      </c>
      <c r="E443">
        <v>1078900</v>
      </c>
      <c r="F443">
        <v>60</v>
      </c>
      <c r="G443">
        <v>9.61</v>
      </c>
      <c r="H443">
        <v>649179.73</v>
      </c>
      <c r="I443">
        <v>211</v>
      </c>
      <c r="J443">
        <v>0</v>
      </c>
      <c r="K443">
        <v>0</v>
      </c>
      <c r="L443">
        <v>3</v>
      </c>
      <c r="M443">
        <v>142117484.08000001</v>
      </c>
      <c r="N443" s="1">
        <v>45596</v>
      </c>
      <c r="O443" t="s">
        <v>260</v>
      </c>
      <c r="P443" t="s">
        <v>33</v>
      </c>
      <c r="Q443" s="1">
        <v>44915</v>
      </c>
      <c r="R443" t="s">
        <v>94</v>
      </c>
      <c r="S443" t="s">
        <v>117</v>
      </c>
      <c r="T443">
        <v>2022</v>
      </c>
      <c r="U443">
        <v>825</v>
      </c>
      <c r="V443">
        <v>841</v>
      </c>
      <c r="W443" t="s">
        <v>70</v>
      </c>
      <c r="X443">
        <v>830000</v>
      </c>
      <c r="Y443">
        <v>0.32840000000000003</v>
      </c>
      <c r="Z443">
        <v>61</v>
      </c>
      <c r="AA443" t="s">
        <v>64</v>
      </c>
      <c r="AB443" t="s">
        <v>38</v>
      </c>
      <c r="AC443" t="s">
        <v>39</v>
      </c>
      <c r="AD443">
        <v>22716.95</v>
      </c>
      <c r="AE443" t="b">
        <v>0</v>
      </c>
      <c r="AF443">
        <v>1227664.8999999999</v>
      </c>
    </row>
    <row r="444" spans="1:32" x14ac:dyDescent="0.3">
      <c r="A444" t="s">
        <v>1011</v>
      </c>
      <c r="B444" t="s">
        <v>1012</v>
      </c>
      <c r="C444" t="s">
        <v>98</v>
      </c>
      <c r="D444" t="s">
        <v>31</v>
      </c>
      <c r="E444">
        <v>867600</v>
      </c>
      <c r="F444">
        <v>72</v>
      </c>
      <c r="G444">
        <v>12.25</v>
      </c>
      <c r="H444">
        <v>819165.95</v>
      </c>
      <c r="I444">
        <v>0</v>
      </c>
      <c r="J444">
        <v>0</v>
      </c>
      <c r="K444">
        <v>0</v>
      </c>
      <c r="L444">
        <v>1</v>
      </c>
      <c r="M444">
        <v>142117484.08000001</v>
      </c>
      <c r="N444" s="1">
        <v>45596</v>
      </c>
      <c r="O444" t="s">
        <v>32</v>
      </c>
      <c r="P444" t="s">
        <v>50</v>
      </c>
      <c r="Q444" s="1">
        <v>45362</v>
      </c>
      <c r="R444" t="s">
        <v>89</v>
      </c>
      <c r="S444" t="s">
        <v>90</v>
      </c>
      <c r="T444">
        <v>2024</v>
      </c>
      <c r="U444">
        <v>826</v>
      </c>
      <c r="V444">
        <v>816</v>
      </c>
      <c r="W444" t="s">
        <v>36</v>
      </c>
      <c r="X444">
        <v>3952000</v>
      </c>
      <c r="Y444">
        <v>5.1799999999999999E-2</v>
      </c>
      <c r="Z444">
        <v>30</v>
      </c>
      <c r="AA444" t="s">
        <v>162</v>
      </c>
      <c r="AB444" t="s">
        <v>38</v>
      </c>
      <c r="AC444" t="s">
        <v>54</v>
      </c>
      <c r="AD444">
        <v>17074.75</v>
      </c>
      <c r="AE444" t="b">
        <v>0</v>
      </c>
      <c r="AF444">
        <v>882994.44</v>
      </c>
    </row>
    <row r="445" spans="1:32" x14ac:dyDescent="0.3">
      <c r="A445" t="s">
        <v>1013</v>
      </c>
      <c r="B445" t="s">
        <v>1014</v>
      </c>
      <c r="C445" t="s">
        <v>67</v>
      </c>
      <c r="D445" t="s">
        <v>31</v>
      </c>
      <c r="E445">
        <v>1978200</v>
      </c>
      <c r="F445">
        <v>48</v>
      </c>
      <c r="G445">
        <v>7.91</v>
      </c>
      <c r="H445">
        <v>321131.96999999997</v>
      </c>
      <c r="I445">
        <v>52</v>
      </c>
      <c r="J445">
        <v>0</v>
      </c>
      <c r="K445">
        <v>0</v>
      </c>
      <c r="L445">
        <v>2</v>
      </c>
      <c r="M445">
        <v>142117484.08000001</v>
      </c>
      <c r="N445" s="1">
        <v>45596</v>
      </c>
      <c r="O445" t="s">
        <v>116</v>
      </c>
      <c r="P445" t="s">
        <v>33</v>
      </c>
      <c r="Q445" s="1">
        <v>44368</v>
      </c>
      <c r="R445" t="s">
        <v>89</v>
      </c>
      <c r="S445" t="s">
        <v>189</v>
      </c>
      <c r="T445">
        <v>2021</v>
      </c>
      <c r="U445">
        <v>826</v>
      </c>
      <c r="V445">
        <v>848</v>
      </c>
      <c r="W445" t="s">
        <v>36</v>
      </c>
      <c r="X445">
        <v>761000</v>
      </c>
      <c r="Y445">
        <v>0.76019999999999999</v>
      </c>
      <c r="Z445">
        <v>44</v>
      </c>
      <c r="AA445" t="s">
        <v>108</v>
      </c>
      <c r="AB445" t="s">
        <v>38</v>
      </c>
      <c r="AC445" t="s">
        <v>81</v>
      </c>
      <c r="AD445">
        <v>48210.12</v>
      </c>
      <c r="AE445" t="b">
        <v>0</v>
      </c>
      <c r="AF445">
        <v>1209882.99</v>
      </c>
    </row>
    <row r="446" spans="1:32" x14ac:dyDescent="0.3">
      <c r="A446" t="s">
        <v>1015</v>
      </c>
      <c r="B446" t="s">
        <v>1016</v>
      </c>
      <c r="C446" t="s">
        <v>103</v>
      </c>
      <c r="D446" t="s">
        <v>31</v>
      </c>
      <c r="E446">
        <v>945300</v>
      </c>
      <c r="F446">
        <v>72</v>
      </c>
      <c r="G446">
        <v>9.4499999999999993</v>
      </c>
      <c r="H446">
        <v>623686.30000000005</v>
      </c>
      <c r="I446">
        <v>0</v>
      </c>
      <c r="J446">
        <v>0</v>
      </c>
      <c r="K446">
        <v>0</v>
      </c>
      <c r="L446">
        <v>1</v>
      </c>
      <c r="M446">
        <v>142117484.08000001</v>
      </c>
      <c r="N446" s="1">
        <v>45596</v>
      </c>
      <c r="O446" t="s">
        <v>32</v>
      </c>
      <c r="P446" t="s">
        <v>74</v>
      </c>
      <c r="Q446" s="1">
        <v>44860</v>
      </c>
      <c r="R446" t="s">
        <v>34</v>
      </c>
      <c r="S446" t="s">
        <v>186</v>
      </c>
      <c r="T446">
        <v>2022</v>
      </c>
      <c r="U446">
        <v>826</v>
      </c>
      <c r="V446">
        <v>813</v>
      </c>
      <c r="W446" t="s">
        <v>63</v>
      </c>
      <c r="X446">
        <v>4071000</v>
      </c>
      <c r="Y446">
        <v>5.0900000000000001E-2</v>
      </c>
      <c r="Z446">
        <v>36</v>
      </c>
      <c r="AA446" t="s">
        <v>71</v>
      </c>
      <c r="AB446" t="s">
        <v>38</v>
      </c>
      <c r="AC446" t="s">
        <v>54</v>
      </c>
      <c r="AD446">
        <v>17251.43</v>
      </c>
      <c r="AE446" t="b">
        <v>0</v>
      </c>
      <c r="AF446">
        <v>890675.74</v>
      </c>
    </row>
    <row r="447" spans="1:32" x14ac:dyDescent="0.3">
      <c r="A447" t="s">
        <v>1017</v>
      </c>
      <c r="B447" t="s">
        <v>1018</v>
      </c>
      <c r="C447" t="s">
        <v>103</v>
      </c>
      <c r="D447" t="s">
        <v>31</v>
      </c>
      <c r="E447">
        <v>898500</v>
      </c>
      <c r="F447">
        <v>72</v>
      </c>
      <c r="G447">
        <v>10.87</v>
      </c>
      <c r="H447">
        <v>367009.53</v>
      </c>
      <c r="I447">
        <v>0</v>
      </c>
      <c r="J447">
        <v>0</v>
      </c>
      <c r="K447">
        <v>0</v>
      </c>
      <c r="L447">
        <v>1</v>
      </c>
      <c r="M447">
        <v>142117484.08000001</v>
      </c>
      <c r="N447" s="1">
        <v>45596</v>
      </c>
      <c r="O447" t="s">
        <v>32</v>
      </c>
      <c r="P447" t="s">
        <v>74</v>
      </c>
      <c r="Q447" s="1">
        <v>44307</v>
      </c>
      <c r="R447" t="s">
        <v>99</v>
      </c>
      <c r="S447" t="s">
        <v>219</v>
      </c>
      <c r="T447">
        <v>2021</v>
      </c>
      <c r="U447">
        <v>827</v>
      </c>
      <c r="V447">
        <v>850</v>
      </c>
      <c r="W447" t="s">
        <v>70</v>
      </c>
      <c r="X447">
        <v>1967000</v>
      </c>
      <c r="Y447">
        <v>0.104</v>
      </c>
      <c r="Z447">
        <v>35</v>
      </c>
      <c r="AA447" t="s">
        <v>162</v>
      </c>
      <c r="AB447" t="s">
        <v>38</v>
      </c>
      <c r="AC447" t="s">
        <v>54</v>
      </c>
      <c r="AD447">
        <v>17042.349999999999</v>
      </c>
      <c r="AE447" t="b">
        <v>0</v>
      </c>
      <c r="AF447">
        <v>644455.16</v>
      </c>
    </row>
    <row r="448" spans="1:32" x14ac:dyDescent="0.3">
      <c r="A448" t="s">
        <v>1019</v>
      </c>
      <c r="B448" t="s">
        <v>1020</v>
      </c>
      <c r="C448" t="s">
        <v>42</v>
      </c>
      <c r="D448" t="s">
        <v>31</v>
      </c>
      <c r="E448">
        <v>701000</v>
      </c>
      <c r="F448">
        <v>72</v>
      </c>
      <c r="G448">
        <v>11.17</v>
      </c>
      <c r="H448">
        <v>649821.79</v>
      </c>
      <c r="I448">
        <v>96</v>
      </c>
      <c r="J448">
        <v>0</v>
      </c>
      <c r="K448">
        <v>0</v>
      </c>
      <c r="L448">
        <v>3</v>
      </c>
      <c r="M448">
        <v>142117484.08000001</v>
      </c>
      <c r="N448" s="1">
        <v>45596</v>
      </c>
      <c r="O448" t="s">
        <v>111</v>
      </c>
      <c r="P448" t="s">
        <v>33</v>
      </c>
      <c r="Q448" s="1">
        <v>45344</v>
      </c>
      <c r="R448" t="s">
        <v>61</v>
      </c>
      <c r="S448" t="s">
        <v>75</v>
      </c>
      <c r="T448">
        <v>2024</v>
      </c>
      <c r="U448">
        <v>828</v>
      </c>
      <c r="V448">
        <v>794</v>
      </c>
      <c r="W448" t="s">
        <v>63</v>
      </c>
      <c r="X448">
        <v>3116000</v>
      </c>
      <c r="Y448">
        <v>5.16E-2</v>
      </c>
      <c r="Z448">
        <v>23</v>
      </c>
      <c r="AA448" t="s">
        <v>104</v>
      </c>
      <c r="AB448" t="s">
        <v>38</v>
      </c>
      <c r="AC448" t="s">
        <v>81</v>
      </c>
      <c r="AD448">
        <v>13404.01</v>
      </c>
      <c r="AE448" t="b">
        <v>0</v>
      </c>
      <c r="AF448">
        <v>1007040.75</v>
      </c>
    </row>
    <row r="449" spans="1:32" x14ac:dyDescent="0.3">
      <c r="A449" t="s">
        <v>1021</v>
      </c>
      <c r="B449" t="s">
        <v>1022</v>
      </c>
      <c r="C449" t="s">
        <v>42</v>
      </c>
      <c r="D449" t="s">
        <v>31</v>
      </c>
      <c r="E449">
        <v>715500</v>
      </c>
      <c r="F449">
        <v>60</v>
      </c>
      <c r="G449">
        <v>8.02</v>
      </c>
      <c r="H449">
        <v>399896.71</v>
      </c>
      <c r="I449">
        <v>60</v>
      </c>
      <c r="J449">
        <v>0</v>
      </c>
      <c r="K449">
        <v>0</v>
      </c>
      <c r="L449">
        <v>2</v>
      </c>
      <c r="M449">
        <v>142117484.08000001</v>
      </c>
      <c r="N449" s="1">
        <v>45596</v>
      </c>
      <c r="O449" t="s">
        <v>122</v>
      </c>
      <c r="P449" t="s">
        <v>74</v>
      </c>
      <c r="Q449" s="1">
        <v>44790</v>
      </c>
      <c r="R449" t="s">
        <v>51</v>
      </c>
      <c r="S449" t="s">
        <v>52</v>
      </c>
      <c r="T449">
        <v>2022</v>
      </c>
      <c r="U449">
        <v>828</v>
      </c>
      <c r="V449">
        <v>792</v>
      </c>
      <c r="W449" t="s">
        <v>36</v>
      </c>
      <c r="X449">
        <v>849000</v>
      </c>
      <c r="Y449">
        <v>0.20519999999999999</v>
      </c>
      <c r="Z449">
        <v>57</v>
      </c>
      <c r="AA449" t="s">
        <v>108</v>
      </c>
      <c r="AB449" t="s">
        <v>38</v>
      </c>
      <c r="AC449" t="s">
        <v>54</v>
      </c>
      <c r="AD449">
        <v>14514.61</v>
      </c>
      <c r="AE449" t="b">
        <v>0</v>
      </c>
      <c r="AF449">
        <v>728132.88</v>
      </c>
    </row>
    <row r="450" spans="1:32" x14ac:dyDescent="0.3">
      <c r="A450" t="s">
        <v>1023</v>
      </c>
      <c r="B450" t="s">
        <v>1024</v>
      </c>
      <c r="C450" t="s">
        <v>98</v>
      </c>
      <c r="D450" t="s">
        <v>31</v>
      </c>
      <c r="E450">
        <v>945700</v>
      </c>
      <c r="F450">
        <v>36</v>
      </c>
      <c r="G450">
        <v>9.68</v>
      </c>
      <c r="H450">
        <v>517026.75</v>
      </c>
      <c r="I450">
        <v>0</v>
      </c>
      <c r="J450">
        <v>0</v>
      </c>
      <c r="K450">
        <v>0</v>
      </c>
      <c r="L450">
        <v>1</v>
      </c>
      <c r="M450">
        <v>142117484.08000001</v>
      </c>
      <c r="N450" s="1">
        <v>45596</v>
      </c>
      <c r="O450" t="s">
        <v>32</v>
      </c>
      <c r="P450" t="s">
        <v>44</v>
      </c>
      <c r="Q450" s="1">
        <v>45105</v>
      </c>
      <c r="R450" t="s">
        <v>171</v>
      </c>
      <c r="S450" t="s">
        <v>325</v>
      </c>
      <c r="T450">
        <v>2023</v>
      </c>
      <c r="U450">
        <v>828</v>
      </c>
      <c r="V450">
        <v>789</v>
      </c>
      <c r="W450" t="s">
        <v>70</v>
      </c>
      <c r="X450">
        <v>2970000</v>
      </c>
      <c r="Y450">
        <v>0.1227</v>
      </c>
      <c r="Z450">
        <v>44</v>
      </c>
      <c r="AA450" t="s">
        <v>108</v>
      </c>
      <c r="AB450" t="s">
        <v>38</v>
      </c>
      <c r="AC450" t="s">
        <v>39</v>
      </c>
      <c r="AD450">
        <v>30373.200000000001</v>
      </c>
      <c r="AE450" t="b">
        <v>0</v>
      </c>
      <c r="AF450">
        <v>975178.38</v>
      </c>
    </row>
    <row r="451" spans="1:32" x14ac:dyDescent="0.3">
      <c r="A451" t="s">
        <v>1025</v>
      </c>
      <c r="B451" t="s">
        <v>1026</v>
      </c>
      <c r="C451" t="s">
        <v>67</v>
      </c>
      <c r="D451" t="s">
        <v>31</v>
      </c>
      <c r="E451">
        <v>2001200</v>
      </c>
      <c r="F451">
        <v>60</v>
      </c>
      <c r="G451">
        <v>9.74</v>
      </c>
      <c r="H451">
        <v>1945615.85</v>
      </c>
      <c r="I451">
        <v>0</v>
      </c>
      <c r="J451">
        <v>0</v>
      </c>
      <c r="K451">
        <v>0</v>
      </c>
      <c r="L451">
        <v>1</v>
      </c>
      <c r="M451">
        <v>142117484.08000001</v>
      </c>
      <c r="N451" s="1">
        <v>45596</v>
      </c>
      <c r="O451" t="s">
        <v>32</v>
      </c>
      <c r="P451" t="s">
        <v>44</v>
      </c>
      <c r="Q451" s="1">
        <v>45497</v>
      </c>
      <c r="R451" t="s">
        <v>45</v>
      </c>
      <c r="S451" t="s">
        <v>107</v>
      </c>
      <c r="T451">
        <v>2024</v>
      </c>
      <c r="U451">
        <v>828</v>
      </c>
      <c r="V451">
        <v>799</v>
      </c>
      <c r="W451" t="s">
        <v>70</v>
      </c>
      <c r="X451">
        <v>1290000</v>
      </c>
      <c r="Y451">
        <v>0.39319999999999999</v>
      </c>
      <c r="Z451">
        <v>51</v>
      </c>
      <c r="AA451" t="s">
        <v>148</v>
      </c>
      <c r="AB451" t="s">
        <v>38</v>
      </c>
      <c r="AC451" t="s">
        <v>39</v>
      </c>
      <c r="AD451">
        <v>42264.02</v>
      </c>
      <c r="AE451" t="b">
        <v>0</v>
      </c>
      <c r="AF451">
        <v>3271129.99</v>
      </c>
    </row>
    <row r="452" spans="1:32" x14ac:dyDescent="0.3">
      <c r="A452" t="s">
        <v>1027</v>
      </c>
      <c r="B452" t="s">
        <v>1028</v>
      </c>
      <c r="C452" t="s">
        <v>30</v>
      </c>
      <c r="D452" t="s">
        <v>84</v>
      </c>
      <c r="E452">
        <v>629800</v>
      </c>
      <c r="F452">
        <v>36</v>
      </c>
      <c r="G452">
        <v>14.14</v>
      </c>
      <c r="H452">
        <v>236176.21</v>
      </c>
      <c r="I452">
        <v>0</v>
      </c>
      <c r="J452">
        <v>0</v>
      </c>
      <c r="K452">
        <v>0</v>
      </c>
      <c r="L452">
        <v>1</v>
      </c>
      <c r="M452">
        <v>142117484.08000001</v>
      </c>
      <c r="N452" s="1">
        <v>45596</v>
      </c>
      <c r="O452" t="s">
        <v>32</v>
      </c>
      <c r="P452" t="s">
        <v>50</v>
      </c>
      <c r="Q452" s="1">
        <v>44867</v>
      </c>
      <c r="R452" t="s">
        <v>51</v>
      </c>
      <c r="S452" t="s">
        <v>79</v>
      </c>
      <c r="T452">
        <v>2019</v>
      </c>
      <c r="U452">
        <v>829</v>
      </c>
      <c r="V452">
        <v>800</v>
      </c>
      <c r="W452" t="s">
        <v>57</v>
      </c>
      <c r="X452">
        <v>915000</v>
      </c>
      <c r="Y452">
        <v>0.28289999999999998</v>
      </c>
      <c r="Z452">
        <v>37</v>
      </c>
      <c r="AA452" t="s">
        <v>76</v>
      </c>
      <c r="AB452" t="s">
        <v>38</v>
      </c>
      <c r="AC452" t="s">
        <v>39</v>
      </c>
      <c r="AD452">
        <v>21567.919999999998</v>
      </c>
      <c r="AE452" t="b">
        <v>0</v>
      </c>
      <c r="AF452">
        <v>479508.7</v>
      </c>
    </row>
    <row r="453" spans="1:32" x14ac:dyDescent="0.3">
      <c r="A453" t="s">
        <v>1029</v>
      </c>
      <c r="B453" t="s">
        <v>1030</v>
      </c>
      <c r="C453" t="s">
        <v>30</v>
      </c>
      <c r="D453" t="s">
        <v>31</v>
      </c>
      <c r="E453">
        <v>1315100</v>
      </c>
      <c r="F453">
        <v>36</v>
      </c>
      <c r="G453">
        <v>13.77</v>
      </c>
      <c r="H453">
        <v>900738.09</v>
      </c>
      <c r="I453">
        <v>0</v>
      </c>
      <c r="J453">
        <v>0</v>
      </c>
      <c r="K453">
        <v>24874.720000000001</v>
      </c>
      <c r="L453">
        <v>1</v>
      </c>
      <c r="M453">
        <v>142117484.08000001</v>
      </c>
      <c r="N453" s="1">
        <v>45596</v>
      </c>
      <c r="O453" t="s">
        <v>32</v>
      </c>
      <c r="P453" t="s">
        <v>74</v>
      </c>
      <c r="Q453" s="1">
        <v>45259</v>
      </c>
      <c r="R453" t="s">
        <v>85</v>
      </c>
      <c r="S453" t="s">
        <v>86</v>
      </c>
      <c r="T453">
        <v>2023</v>
      </c>
      <c r="U453">
        <v>829</v>
      </c>
      <c r="V453">
        <v>830</v>
      </c>
      <c r="W453" t="s">
        <v>57</v>
      </c>
      <c r="X453">
        <v>2695000</v>
      </c>
      <c r="Y453">
        <v>0.19950000000000001</v>
      </c>
      <c r="Z453">
        <v>26</v>
      </c>
      <c r="AA453" t="s">
        <v>37</v>
      </c>
      <c r="AB453" t="s">
        <v>38</v>
      </c>
      <c r="AC453" t="s">
        <v>39</v>
      </c>
      <c r="AD453">
        <v>44800.23</v>
      </c>
      <c r="AE453" t="b">
        <v>0</v>
      </c>
      <c r="AF453">
        <v>1805445.51</v>
      </c>
    </row>
    <row r="454" spans="1:32" x14ac:dyDescent="0.3">
      <c r="A454" t="s">
        <v>1031</v>
      </c>
      <c r="B454" t="s">
        <v>1032</v>
      </c>
      <c r="C454" t="s">
        <v>103</v>
      </c>
      <c r="D454" t="s">
        <v>31</v>
      </c>
      <c r="E454">
        <v>1930500</v>
      </c>
      <c r="F454">
        <v>84</v>
      </c>
      <c r="G454">
        <v>9.49</v>
      </c>
      <c r="H454">
        <v>1359007.41</v>
      </c>
      <c r="I454">
        <v>0</v>
      </c>
      <c r="J454">
        <v>0</v>
      </c>
      <c r="K454">
        <v>0</v>
      </c>
      <c r="L454">
        <v>1</v>
      </c>
      <c r="M454">
        <v>142117484.08000001</v>
      </c>
      <c r="N454" s="1">
        <v>45596</v>
      </c>
      <c r="O454" t="s">
        <v>32</v>
      </c>
      <c r="P454" t="s">
        <v>33</v>
      </c>
      <c r="Q454" s="1">
        <v>44997</v>
      </c>
      <c r="R454" t="s">
        <v>68</v>
      </c>
      <c r="S454" t="s">
        <v>133</v>
      </c>
      <c r="T454">
        <v>2023</v>
      </c>
      <c r="U454">
        <v>829</v>
      </c>
      <c r="V454">
        <v>844</v>
      </c>
      <c r="W454" t="s">
        <v>63</v>
      </c>
      <c r="X454">
        <v>3324000</v>
      </c>
      <c r="Y454">
        <v>0.1139</v>
      </c>
      <c r="Z454">
        <v>39</v>
      </c>
      <c r="AA454" t="s">
        <v>76</v>
      </c>
      <c r="AB454" t="s">
        <v>38</v>
      </c>
      <c r="AC454" t="s">
        <v>81</v>
      </c>
      <c r="AD454">
        <v>31542.17</v>
      </c>
      <c r="AE454" t="b">
        <v>0</v>
      </c>
      <c r="AF454">
        <v>1963863.12</v>
      </c>
    </row>
    <row r="455" spans="1:32" x14ac:dyDescent="0.3">
      <c r="A455" t="s">
        <v>1033</v>
      </c>
      <c r="B455" t="s">
        <v>1034</v>
      </c>
      <c r="C455" t="s">
        <v>67</v>
      </c>
      <c r="D455" t="s">
        <v>31</v>
      </c>
      <c r="E455">
        <v>2504500</v>
      </c>
      <c r="F455">
        <v>60</v>
      </c>
      <c r="G455">
        <v>8.81</v>
      </c>
      <c r="H455">
        <v>1095477.76</v>
      </c>
      <c r="I455">
        <v>54</v>
      </c>
      <c r="J455">
        <v>0</v>
      </c>
      <c r="K455">
        <v>0</v>
      </c>
      <c r="L455">
        <v>2</v>
      </c>
      <c r="M455">
        <v>142117484.08000001</v>
      </c>
      <c r="N455" s="1">
        <v>45596</v>
      </c>
      <c r="O455" t="s">
        <v>116</v>
      </c>
      <c r="P455" t="s">
        <v>44</v>
      </c>
      <c r="Q455" s="1">
        <v>44615</v>
      </c>
      <c r="R455" t="s">
        <v>85</v>
      </c>
      <c r="S455" t="s">
        <v>86</v>
      </c>
      <c r="T455">
        <v>2022</v>
      </c>
      <c r="U455">
        <v>829</v>
      </c>
      <c r="V455">
        <v>781</v>
      </c>
      <c r="W455" t="s">
        <v>57</v>
      </c>
      <c r="X455">
        <v>2427000</v>
      </c>
      <c r="Y455">
        <v>0.25590000000000002</v>
      </c>
      <c r="Z455">
        <v>44</v>
      </c>
      <c r="AA455" t="s">
        <v>71</v>
      </c>
      <c r="AB455" t="s">
        <v>38</v>
      </c>
      <c r="AC455" t="s">
        <v>39</v>
      </c>
      <c r="AD455">
        <v>51758.66</v>
      </c>
      <c r="AE455" t="b">
        <v>0</v>
      </c>
      <c r="AF455">
        <v>1823705.84</v>
      </c>
    </row>
    <row r="456" spans="1:32" x14ac:dyDescent="0.3">
      <c r="A456" t="s">
        <v>1035</v>
      </c>
      <c r="B456" t="s">
        <v>1036</v>
      </c>
      <c r="C456" t="s">
        <v>42</v>
      </c>
      <c r="D456" t="s">
        <v>31</v>
      </c>
      <c r="E456">
        <v>466600</v>
      </c>
      <c r="F456">
        <v>84</v>
      </c>
      <c r="G456">
        <v>13.4</v>
      </c>
      <c r="H456">
        <v>339452.22</v>
      </c>
      <c r="I456">
        <v>0</v>
      </c>
      <c r="J456">
        <v>0</v>
      </c>
      <c r="K456">
        <v>0</v>
      </c>
      <c r="L456">
        <v>1</v>
      </c>
      <c r="M456">
        <v>142117484.08000001</v>
      </c>
      <c r="N456" s="1">
        <v>45596</v>
      </c>
      <c r="O456" t="s">
        <v>32</v>
      </c>
      <c r="P456" t="s">
        <v>50</v>
      </c>
      <c r="Q456" s="1">
        <v>44921</v>
      </c>
      <c r="R456" t="s">
        <v>99</v>
      </c>
      <c r="S456" t="s">
        <v>157</v>
      </c>
      <c r="T456">
        <v>2022</v>
      </c>
      <c r="U456">
        <v>830</v>
      </c>
      <c r="V456">
        <v>820</v>
      </c>
      <c r="W456" t="s">
        <v>57</v>
      </c>
      <c r="X456">
        <v>2354000</v>
      </c>
      <c r="Y456">
        <v>4.3799999999999999E-2</v>
      </c>
      <c r="Z456">
        <v>34</v>
      </c>
      <c r="AA456" t="s">
        <v>47</v>
      </c>
      <c r="AB456" t="s">
        <v>38</v>
      </c>
      <c r="AC456" t="s">
        <v>39</v>
      </c>
      <c r="AD456">
        <v>8590.17</v>
      </c>
      <c r="AE456" t="b">
        <v>0</v>
      </c>
      <c r="AF456">
        <v>440474.66</v>
      </c>
    </row>
    <row r="457" spans="1:32" x14ac:dyDescent="0.3">
      <c r="A457" t="s">
        <v>1037</v>
      </c>
      <c r="B457" t="s">
        <v>1038</v>
      </c>
      <c r="C457" t="s">
        <v>103</v>
      </c>
      <c r="D457" t="s">
        <v>31</v>
      </c>
      <c r="E457">
        <v>2042000</v>
      </c>
      <c r="F457">
        <v>48</v>
      </c>
      <c r="G457">
        <v>11.19</v>
      </c>
      <c r="H457">
        <v>679910.06</v>
      </c>
      <c r="I457">
        <v>0</v>
      </c>
      <c r="J457">
        <v>0</v>
      </c>
      <c r="K457">
        <v>0</v>
      </c>
      <c r="L457">
        <v>1</v>
      </c>
      <c r="M457">
        <v>142117484.08000001</v>
      </c>
      <c r="N457" s="1">
        <v>45596</v>
      </c>
      <c r="O457" t="s">
        <v>32</v>
      </c>
      <c r="P457" t="s">
        <v>44</v>
      </c>
      <c r="Q457" s="1">
        <v>44648</v>
      </c>
      <c r="R457" t="s">
        <v>68</v>
      </c>
      <c r="S457" t="s">
        <v>205</v>
      </c>
      <c r="T457">
        <v>2022</v>
      </c>
      <c r="U457">
        <v>830</v>
      </c>
      <c r="V457">
        <v>859</v>
      </c>
      <c r="W457" t="s">
        <v>57</v>
      </c>
      <c r="X457">
        <v>2741000</v>
      </c>
      <c r="Y457">
        <v>0.2319</v>
      </c>
      <c r="Z457">
        <v>58</v>
      </c>
      <c r="AA457" t="s">
        <v>148</v>
      </c>
      <c r="AB457" t="s">
        <v>38</v>
      </c>
      <c r="AC457" t="s">
        <v>54</v>
      </c>
      <c r="AD457">
        <v>52965.17</v>
      </c>
      <c r="AE457" t="b">
        <v>0</v>
      </c>
      <c r="AF457">
        <v>1741727.6</v>
      </c>
    </row>
    <row r="458" spans="1:32" x14ac:dyDescent="0.3">
      <c r="A458" t="s">
        <v>1039</v>
      </c>
      <c r="B458" t="s">
        <v>1040</v>
      </c>
      <c r="C458" t="s">
        <v>30</v>
      </c>
      <c r="D458" t="s">
        <v>31</v>
      </c>
      <c r="E458">
        <v>1433600</v>
      </c>
      <c r="F458">
        <v>60</v>
      </c>
      <c r="G458">
        <v>13.67</v>
      </c>
      <c r="H458">
        <v>890104.48</v>
      </c>
      <c r="I458">
        <v>0</v>
      </c>
      <c r="J458">
        <v>0</v>
      </c>
      <c r="K458">
        <v>0</v>
      </c>
      <c r="L458">
        <v>1</v>
      </c>
      <c r="M458">
        <v>142117484.08000001</v>
      </c>
      <c r="N458" s="1">
        <v>45596</v>
      </c>
      <c r="O458" t="s">
        <v>32</v>
      </c>
      <c r="P458" t="s">
        <v>33</v>
      </c>
      <c r="Q458" s="1">
        <v>44934</v>
      </c>
      <c r="R458" t="s">
        <v>34</v>
      </c>
      <c r="S458" t="s">
        <v>123</v>
      </c>
      <c r="T458">
        <v>2023</v>
      </c>
      <c r="U458">
        <v>831</v>
      </c>
      <c r="V458">
        <v>850</v>
      </c>
      <c r="W458" t="s">
        <v>36</v>
      </c>
      <c r="X458">
        <v>2624000</v>
      </c>
      <c r="Y458">
        <v>0.15140000000000001</v>
      </c>
      <c r="Z458">
        <v>50</v>
      </c>
      <c r="AA458" t="s">
        <v>113</v>
      </c>
      <c r="AB458" t="s">
        <v>38</v>
      </c>
      <c r="AC458" t="s">
        <v>81</v>
      </c>
      <c r="AD458">
        <v>33112.61</v>
      </c>
      <c r="AE458" t="b">
        <v>0</v>
      </c>
      <c r="AF458">
        <v>1477033.28</v>
      </c>
    </row>
    <row r="459" spans="1:32" x14ac:dyDescent="0.3">
      <c r="A459" t="s">
        <v>1041</v>
      </c>
      <c r="B459" t="s">
        <v>1042</v>
      </c>
      <c r="C459" t="s">
        <v>42</v>
      </c>
      <c r="D459" t="s">
        <v>31</v>
      </c>
      <c r="E459">
        <v>416000</v>
      </c>
      <c r="F459">
        <v>72</v>
      </c>
      <c r="G459">
        <v>9.91</v>
      </c>
      <c r="H459">
        <v>367278.61</v>
      </c>
      <c r="I459">
        <v>0</v>
      </c>
      <c r="J459">
        <v>0</v>
      </c>
      <c r="K459">
        <v>0</v>
      </c>
      <c r="L459">
        <v>1</v>
      </c>
      <c r="M459">
        <v>142117484.08000001</v>
      </c>
      <c r="N459" s="1">
        <v>45596</v>
      </c>
      <c r="O459" t="s">
        <v>32</v>
      </c>
      <c r="P459" t="s">
        <v>44</v>
      </c>
      <c r="Q459" s="1">
        <v>45472</v>
      </c>
      <c r="R459" t="s">
        <v>61</v>
      </c>
      <c r="S459" t="s">
        <v>62</v>
      </c>
      <c r="T459">
        <v>2024</v>
      </c>
      <c r="U459">
        <v>833</v>
      </c>
      <c r="V459">
        <v>842</v>
      </c>
      <c r="W459" t="s">
        <v>36</v>
      </c>
      <c r="X459">
        <v>4355000</v>
      </c>
      <c r="Y459">
        <v>2.12E-2</v>
      </c>
      <c r="Z459">
        <v>59</v>
      </c>
      <c r="AA459" t="s">
        <v>71</v>
      </c>
      <c r="AB459" t="s">
        <v>38</v>
      </c>
      <c r="AC459" t="s">
        <v>39</v>
      </c>
      <c r="AD459">
        <v>7687.88</v>
      </c>
      <c r="AE459" t="b">
        <v>0</v>
      </c>
      <c r="AF459">
        <v>504706.16</v>
      </c>
    </row>
    <row r="460" spans="1:32" x14ac:dyDescent="0.3">
      <c r="A460" t="s">
        <v>1043</v>
      </c>
      <c r="B460" t="s">
        <v>1044</v>
      </c>
      <c r="C460" t="s">
        <v>103</v>
      </c>
      <c r="D460" t="s">
        <v>31</v>
      </c>
      <c r="E460">
        <v>1820200</v>
      </c>
      <c r="F460">
        <v>72</v>
      </c>
      <c r="G460">
        <v>11.09</v>
      </c>
      <c r="H460">
        <v>970764.56</v>
      </c>
      <c r="I460">
        <v>0</v>
      </c>
      <c r="J460">
        <v>0</v>
      </c>
      <c r="K460">
        <v>0</v>
      </c>
      <c r="L460">
        <v>1</v>
      </c>
      <c r="M460">
        <v>142117484.08000001</v>
      </c>
      <c r="N460" s="1">
        <v>45596</v>
      </c>
      <c r="O460" t="s">
        <v>32</v>
      </c>
      <c r="P460" t="s">
        <v>33</v>
      </c>
      <c r="Q460" s="1">
        <v>44605</v>
      </c>
      <c r="R460" t="s">
        <v>99</v>
      </c>
      <c r="S460" t="s">
        <v>200</v>
      </c>
      <c r="T460">
        <v>2022</v>
      </c>
      <c r="U460">
        <v>833</v>
      </c>
      <c r="V460">
        <v>818</v>
      </c>
      <c r="W460" t="s">
        <v>63</v>
      </c>
      <c r="X460">
        <v>1230000</v>
      </c>
      <c r="Y460">
        <v>0.33879999999999999</v>
      </c>
      <c r="Z460">
        <v>40</v>
      </c>
      <c r="AA460" t="s">
        <v>162</v>
      </c>
      <c r="AB460" t="s">
        <v>38</v>
      </c>
      <c r="AC460" t="s">
        <v>81</v>
      </c>
      <c r="AD460">
        <v>34729.79</v>
      </c>
      <c r="AE460" t="b">
        <v>0</v>
      </c>
      <c r="AF460">
        <v>1370607.51</v>
      </c>
    </row>
    <row r="461" spans="1:32" x14ac:dyDescent="0.3">
      <c r="A461" t="s">
        <v>1045</v>
      </c>
      <c r="B461" t="s">
        <v>1046</v>
      </c>
      <c r="C461" t="s">
        <v>67</v>
      </c>
      <c r="D461" t="s">
        <v>31</v>
      </c>
      <c r="E461">
        <v>2240700</v>
      </c>
      <c r="F461">
        <v>36</v>
      </c>
      <c r="G461">
        <v>11.62</v>
      </c>
      <c r="H461">
        <v>1860416.13</v>
      </c>
      <c r="I461">
        <v>0</v>
      </c>
      <c r="J461">
        <v>0</v>
      </c>
      <c r="K461">
        <v>0</v>
      </c>
      <c r="L461">
        <v>1</v>
      </c>
      <c r="M461">
        <v>142117484.08000001</v>
      </c>
      <c r="N461" s="1">
        <v>45596</v>
      </c>
      <c r="O461" t="s">
        <v>32</v>
      </c>
      <c r="P461" t="s">
        <v>74</v>
      </c>
      <c r="Q461" s="1">
        <v>45457</v>
      </c>
      <c r="R461" t="s">
        <v>61</v>
      </c>
      <c r="S461" t="s">
        <v>75</v>
      </c>
      <c r="T461">
        <v>2024</v>
      </c>
      <c r="U461">
        <v>834</v>
      </c>
      <c r="V461">
        <v>815</v>
      </c>
      <c r="W461" t="s">
        <v>57</v>
      </c>
      <c r="X461">
        <v>439000</v>
      </c>
      <c r="Y461">
        <v>2.0232999999999999</v>
      </c>
      <c r="Z461">
        <v>56</v>
      </c>
      <c r="AA461" t="s">
        <v>140</v>
      </c>
      <c r="AB461" t="s">
        <v>38</v>
      </c>
      <c r="AC461" t="s">
        <v>39</v>
      </c>
      <c r="AD461">
        <v>74017.279999999999</v>
      </c>
      <c r="AE461" t="b">
        <v>0</v>
      </c>
      <c r="AF461">
        <v>3369863.35</v>
      </c>
    </row>
    <row r="462" spans="1:32" x14ac:dyDescent="0.3">
      <c r="A462" t="s">
        <v>1047</v>
      </c>
      <c r="B462" t="s">
        <v>1048</v>
      </c>
      <c r="C462" t="s">
        <v>103</v>
      </c>
      <c r="D462" t="s">
        <v>31</v>
      </c>
      <c r="E462">
        <v>763900</v>
      </c>
      <c r="F462">
        <v>36</v>
      </c>
      <c r="G462">
        <v>10.1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142117484.08000001</v>
      </c>
      <c r="N462" s="1">
        <v>45596</v>
      </c>
      <c r="O462" t="s">
        <v>32</v>
      </c>
      <c r="P462" t="s">
        <v>50</v>
      </c>
      <c r="Q462" s="1">
        <v>44467</v>
      </c>
      <c r="R462" t="s">
        <v>51</v>
      </c>
      <c r="S462" t="s">
        <v>79</v>
      </c>
      <c r="T462">
        <v>2021</v>
      </c>
      <c r="U462">
        <v>835</v>
      </c>
      <c r="V462">
        <v>814</v>
      </c>
      <c r="W462" t="s">
        <v>70</v>
      </c>
      <c r="X462">
        <v>3240000</v>
      </c>
      <c r="Y462">
        <v>9.1399999999999995E-2</v>
      </c>
      <c r="Z462">
        <v>28</v>
      </c>
      <c r="AA462" t="s">
        <v>162</v>
      </c>
      <c r="AB462" t="s">
        <v>38</v>
      </c>
      <c r="AC462" t="s">
        <v>81</v>
      </c>
      <c r="AD462">
        <v>24684.78</v>
      </c>
      <c r="AE462" t="b">
        <v>0</v>
      </c>
      <c r="AF462">
        <v>536870.96</v>
      </c>
    </row>
    <row r="463" spans="1:32" x14ac:dyDescent="0.3">
      <c r="A463" t="s">
        <v>1049</v>
      </c>
      <c r="B463" t="s">
        <v>1050</v>
      </c>
      <c r="C463" t="s">
        <v>30</v>
      </c>
      <c r="D463" t="s">
        <v>43</v>
      </c>
      <c r="E463">
        <v>677700</v>
      </c>
      <c r="F463">
        <v>48</v>
      </c>
      <c r="G463">
        <v>7.5</v>
      </c>
      <c r="H463">
        <v>451529.27</v>
      </c>
      <c r="I463">
        <v>267</v>
      </c>
      <c r="J463">
        <v>0</v>
      </c>
      <c r="K463">
        <v>0</v>
      </c>
      <c r="L463">
        <v>3</v>
      </c>
      <c r="M463">
        <v>142117484.08000001</v>
      </c>
      <c r="N463" s="1">
        <v>45596</v>
      </c>
      <c r="O463" t="s">
        <v>260</v>
      </c>
      <c r="P463" t="s">
        <v>50</v>
      </c>
      <c r="Q463" s="1">
        <v>45128</v>
      </c>
      <c r="R463" t="s">
        <v>89</v>
      </c>
      <c r="S463" t="s">
        <v>183</v>
      </c>
      <c r="T463">
        <v>2021</v>
      </c>
      <c r="U463">
        <v>835</v>
      </c>
      <c r="V463">
        <v>836</v>
      </c>
      <c r="W463" t="s">
        <v>70</v>
      </c>
      <c r="X463">
        <v>2886000</v>
      </c>
      <c r="Y463">
        <v>6.8099999999999994E-2</v>
      </c>
      <c r="Z463">
        <v>54</v>
      </c>
      <c r="AA463" t="s">
        <v>108</v>
      </c>
      <c r="AB463" t="s">
        <v>38</v>
      </c>
      <c r="AC463" t="s">
        <v>39</v>
      </c>
      <c r="AD463">
        <v>16386.04</v>
      </c>
      <c r="AE463" t="b">
        <v>0</v>
      </c>
      <c r="AF463">
        <v>868811.1</v>
      </c>
    </row>
    <row r="464" spans="1:32" x14ac:dyDescent="0.3">
      <c r="A464" t="s">
        <v>1051</v>
      </c>
      <c r="B464" t="s">
        <v>1052</v>
      </c>
      <c r="C464" t="s">
        <v>103</v>
      </c>
      <c r="D464" t="s">
        <v>31</v>
      </c>
      <c r="E464">
        <v>2235200</v>
      </c>
      <c r="F464">
        <v>48</v>
      </c>
      <c r="G464">
        <v>13.71</v>
      </c>
      <c r="H464">
        <v>428576.13</v>
      </c>
      <c r="I464">
        <v>20</v>
      </c>
      <c r="J464">
        <v>0</v>
      </c>
      <c r="K464">
        <v>0</v>
      </c>
      <c r="L464">
        <v>1</v>
      </c>
      <c r="M464">
        <v>142117484.08000001</v>
      </c>
      <c r="N464" s="1">
        <v>45596</v>
      </c>
      <c r="O464" t="s">
        <v>139</v>
      </c>
      <c r="P464" t="s">
        <v>74</v>
      </c>
      <c r="Q464" s="1">
        <v>44435</v>
      </c>
      <c r="R464" t="s">
        <v>89</v>
      </c>
      <c r="S464" t="s">
        <v>306</v>
      </c>
      <c r="T464">
        <v>2021</v>
      </c>
      <c r="U464">
        <v>836</v>
      </c>
      <c r="V464">
        <v>805</v>
      </c>
      <c r="W464" t="s">
        <v>70</v>
      </c>
      <c r="X464">
        <v>3060000</v>
      </c>
      <c r="Y464">
        <v>0.23830000000000001</v>
      </c>
      <c r="Z464">
        <v>48</v>
      </c>
      <c r="AA464" t="s">
        <v>162</v>
      </c>
      <c r="AB464" t="s">
        <v>38</v>
      </c>
      <c r="AC464" t="s">
        <v>39</v>
      </c>
      <c r="AD464">
        <v>60755.48</v>
      </c>
      <c r="AE464" t="b">
        <v>0</v>
      </c>
      <c r="AF464">
        <v>2068461.93</v>
      </c>
    </row>
    <row r="465" spans="1:32" x14ac:dyDescent="0.3">
      <c r="A465" t="s">
        <v>1053</v>
      </c>
      <c r="B465" t="s">
        <v>1054</v>
      </c>
      <c r="C465" t="s">
        <v>98</v>
      </c>
      <c r="D465" t="s">
        <v>31</v>
      </c>
      <c r="E465">
        <v>1322300</v>
      </c>
      <c r="F465">
        <v>48</v>
      </c>
      <c r="G465">
        <v>12.13</v>
      </c>
      <c r="H465">
        <v>1099709.03</v>
      </c>
      <c r="I465">
        <v>0</v>
      </c>
      <c r="J465">
        <v>0</v>
      </c>
      <c r="K465">
        <v>0</v>
      </c>
      <c r="L465">
        <v>1</v>
      </c>
      <c r="M465">
        <v>142117484.08000001</v>
      </c>
      <c r="N465" s="1">
        <v>45596</v>
      </c>
      <c r="O465" t="s">
        <v>32</v>
      </c>
      <c r="P465" t="s">
        <v>44</v>
      </c>
      <c r="Q465" s="1">
        <v>45318</v>
      </c>
      <c r="R465" t="s">
        <v>89</v>
      </c>
      <c r="S465" t="s">
        <v>306</v>
      </c>
      <c r="T465">
        <v>2024</v>
      </c>
      <c r="U465">
        <v>836</v>
      </c>
      <c r="V465">
        <v>866</v>
      </c>
      <c r="W465" t="s">
        <v>70</v>
      </c>
      <c r="X465">
        <v>4693000</v>
      </c>
      <c r="Y465">
        <v>8.9300000000000004E-2</v>
      </c>
      <c r="Z465">
        <v>39</v>
      </c>
      <c r="AA465" t="s">
        <v>197</v>
      </c>
      <c r="AB465" t="s">
        <v>38</v>
      </c>
      <c r="AC465" t="s">
        <v>39</v>
      </c>
      <c r="AD465">
        <v>34905.69</v>
      </c>
      <c r="AE465" t="b">
        <v>0</v>
      </c>
      <c r="AF465">
        <v>1367933.33</v>
      </c>
    </row>
    <row r="466" spans="1:32" x14ac:dyDescent="0.3">
      <c r="A466" t="s">
        <v>1055</v>
      </c>
      <c r="B466" t="s">
        <v>1056</v>
      </c>
      <c r="C466" t="s">
        <v>42</v>
      </c>
      <c r="D466" t="s">
        <v>31</v>
      </c>
      <c r="E466">
        <v>793700</v>
      </c>
      <c r="F466">
        <v>48</v>
      </c>
      <c r="G466">
        <v>14.46</v>
      </c>
      <c r="H466">
        <v>683493.75</v>
      </c>
      <c r="I466">
        <v>0</v>
      </c>
      <c r="J466">
        <v>0</v>
      </c>
      <c r="K466">
        <v>0</v>
      </c>
      <c r="L466">
        <v>1</v>
      </c>
      <c r="M466">
        <v>142117484.08000001</v>
      </c>
      <c r="N466" s="1">
        <v>45596</v>
      </c>
      <c r="O466" t="s">
        <v>32</v>
      </c>
      <c r="P466" t="s">
        <v>33</v>
      </c>
      <c r="Q466" s="1">
        <v>45416</v>
      </c>
      <c r="R466" t="s">
        <v>61</v>
      </c>
      <c r="S466" t="s">
        <v>62</v>
      </c>
      <c r="T466">
        <v>2024</v>
      </c>
      <c r="U466">
        <v>836</v>
      </c>
      <c r="V466">
        <v>800</v>
      </c>
      <c r="W466" t="s">
        <v>70</v>
      </c>
      <c r="X466">
        <v>658000</v>
      </c>
      <c r="Y466">
        <v>0.39889999999999998</v>
      </c>
      <c r="Z466">
        <v>32</v>
      </c>
      <c r="AA466" t="s">
        <v>91</v>
      </c>
      <c r="AB466" t="s">
        <v>38</v>
      </c>
      <c r="AC466" t="s">
        <v>81</v>
      </c>
      <c r="AD466">
        <v>21872.61</v>
      </c>
      <c r="AE466" t="b">
        <v>0</v>
      </c>
      <c r="AF466">
        <v>1168637.01</v>
      </c>
    </row>
    <row r="467" spans="1:32" x14ac:dyDescent="0.3">
      <c r="A467" t="s">
        <v>1057</v>
      </c>
      <c r="B467" t="s">
        <v>1058</v>
      </c>
      <c r="C467" t="s">
        <v>42</v>
      </c>
      <c r="D467" t="s">
        <v>31</v>
      </c>
      <c r="E467">
        <v>526900</v>
      </c>
      <c r="F467">
        <v>72</v>
      </c>
      <c r="G467">
        <v>8.66</v>
      </c>
      <c r="H467">
        <v>232809.4</v>
      </c>
      <c r="I467">
        <v>0</v>
      </c>
      <c r="J467">
        <v>0</v>
      </c>
      <c r="K467">
        <v>0</v>
      </c>
      <c r="L467">
        <v>1</v>
      </c>
      <c r="M467">
        <v>142117484.08000001</v>
      </c>
      <c r="N467" s="1">
        <v>45596</v>
      </c>
      <c r="O467" t="s">
        <v>32</v>
      </c>
      <c r="P467" t="s">
        <v>33</v>
      </c>
      <c r="Q467" s="1">
        <v>44386</v>
      </c>
      <c r="R467" t="s">
        <v>85</v>
      </c>
      <c r="S467" t="s">
        <v>130</v>
      </c>
      <c r="T467">
        <v>2021</v>
      </c>
      <c r="U467">
        <v>837</v>
      </c>
      <c r="V467">
        <v>839</v>
      </c>
      <c r="W467" t="s">
        <v>70</v>
      </c>
      <c r="X467">
        <v>3055000</v>
      </c>
      <c r="Y467">
        <v>3.6999999999999998E-2</v>
      </c>
      <c r="Z467">
        <v>44</v>
      </c>
      <c r="AA467" t="s">
        <v>140</v>
      </c>
      <c r="AB467" t="s">
        <v>38</v>
      </c>
      <c r="AC467" t="s">
        <v>54</v>
      </c>
      <c r="AD467">
        <v>9408.99</v>
      </c>
      <c r="AE467" t="b">
        <v>0</v>
      </c>
      <c r="AF467">
        <v>433816.87</v>
      </c>
    </row>
    <row r="468" spans="1:32" x14ac:dyDescent="0.3">
      <c r="A468" t="s">
        <v>1059</v>
      </c>
      <c r="B468" t="s">
        <v>1060</v>
      </c>
      <c r="C468" t="s">
        <v>67</v>
      </c>
      <c r="D468" t="s">
        <v>31</v>
      </c>
      <c r="E468">
        <v>868100</v>
      </c>
      <c r="F468">
        <v>36</v>
      </c>
      <c r="G468">
        <v>14.21</v>
      </c>
      <c r="H468">
        <v>147628.89000000001</v>
      </c>
      <c r="I468">
        <v>0</v>
      </c>
      <c r="J468">
        <v>0</v>
      </c>
      <c r="K468">
        <v>0</v>
      </c>
      <c r="L468">
        <v>1</v>
      </c>
      <c r="M468">
        <v>142117484.08000001</v>
      </c>
      <c r="N468" s="1">
        <v>45596</v>
      </c>
      <c r="O468" t="s">
        <v>32</v>
      </c>
      <c r="P468" t="s">
        <v>33</v>
      </c>
      <c r="Q468" s="1">
        <v>44666</v>
      </c>
      <c r="R468" t="s">
        <v>171</v>
      </c>
      <c r="S468" t="s">
        <v>172</v>
      </c>
      <c r="T468">
        <v>2022</v>
      </c>
      <c r="U468">
        <v>837</v>
      </c>
      <c r="V468">
        <v>826</v>
      </c>
      <c r="W468" t="s">
        <v>70</v>
      </c>
      <c r="X468">
        <v>377000</v>
      </c>
      <c r="Y468">
        <v>0.94720000000000004</v>
      </c>
      <c r="Z468">
        <v>58</v>
      </c>
      <c r="AA468" t="s">
        <v>53</v>
      </c>
      <c r="AB468" t="s">
        <v>38</v>
      </c>
      <c r="AC468" t="s">
        <v>39</v>
      </c>
      <c r="AD468">
        <v>29758.22</v>
      </c>
      <c r="AE468" t="b">
        <v>0</v>
      </c>
      <c r="AF468">
        <v>1007399.17</v>
      </c>
    </row>
    <row r="469" spans="1:32" x14ac:dyDescent="0.3">
      <c r="A469" t="s">
        <v>1061</v>
      </c>
      <c r="B469" t="s">
        <v>1062</v>
      </c>
      <c r="C469" t="s">
        <v>42</v>
      </c>
      <c r="D469" t="s">
        <v>43</v>
      </c>
      <c r="E469">
        <v>621300</v>
      </c>
      <c r="F469">
        <v>48</v>
      </c>
      <c r="G469">
        <v>12.55</v>
      </c>
      <c r="H469">
        <v>258437.52</v>
      </c>
      <c r="I469">
        <v>0</v>
      </c>
      <c r="J469">
        <v>0</v>
      </c>
      <c r="K469">
        <v>0</v>
      </c>
      <c r="L469">
        <v>1</v>
      </c>
      <c r="M469">
        <v>142117484.08000001</v>
      </c>
      <c r="N469" s="1">
        <v>45596</v>
      </c>
      <c r="O469" t="s">
        <v>32</v>
      </c>
      <c r="P469" t="s">
        <v>44</v>
      </c>
      <c r="Q469" s="1">
        <v>44731</v>
      </c>
      <c r="R469" t="s">
        <v>51</v>
      </c>
      <c r="S469" t="s">
        <v>79</v>
      </c>
      <c r="T469">
        <v>2020</v>
      </c>
      <c r="U469">
        <v>838</v>
      </c>
      <c r="V469">
        <v>792</v>
      </c>
      <c r="W469" t="s">
        <v>70</v>
      </c>
      <c r="X469">
        <v>2202000</v>
      </c>
      <c r="Y469">
        <v>9.01E-2</v>
      </c>
      <c r="Z469">
        <v>40</v>
      </c>
      <c r="AA469" t="s">
        <v>53</v>
      </c>
      <c r="AB469" t="s">
        <v>38</v>
      </c>
      <c r="AC469" t="s">
        <v>81</v>
      </c>
      <c r="AD469">
        <v>16529.490000000002</v>
      </c>
      <c r="AE469" t="b">
        <v>0</v>
      </c>
      <c r="AF469">
        <v>536068.22</v>
      </c>
    </row>
    <row r="470" spans="1:32" x14ac:dyDescent="0.3">
      <c r="A470" t="s">
        <v>1063</v>
      </c>
      <c r="B470" t="s">
        <v>1064</v>
      </c>
      <c r="C470" t="s">
        <v>98</v>
      </c>
      <c r="D470" t="s">
        <v>31</v>
      </c>
      <c r="E470">
        <v>1188200</v>
      </c>
      <c r="F470">
        <v>60</v>
      </c>
      <c r="G470">
        <v>7.56</v>
      </c>
      <c r="H470">
        <v>886303.46</v>
      </c>
      <c r="I470">
        <v>0</v>
      </c>
      <c r="J470">
        <v>0</v>
      </c>
      <c r="K470">
        <v>0</v>
      </c>
      <c r="L470">
        <v>1</v>
      </c>
      <c r="M470">
        <v>142117484.08000001</v>
      </c>
      <c r="N470" s="1">
        <v>45596</v>
      </c>
      <c r="O470" t="s">
        <v>32</v>
      </c>
      <c r="P470" t="s">
        <v>44</v>
      </c>
      <c r="Q470" s="1">
        <v>45117</v>
      </c>
      <c r="R470" t="s">
        <v>45</v>
      </c>
      <c r="S470" t="s">
        <v>46</v>
      </c>
      <c r="T470">
        <v>2023</v>
      </c>
      <c r="U470">
        <v>838</v>
      </c>
      <c r="V470">
        <v>862</v>
      </c>
      <c r="W470" t="s">
        <v>70</v>
      </c>
      <c r="X470">
        <v>4288000</v>
      </c>
      <c r="Y470">
        <v>6.6699999999999995E-2</v>
      </c>
      <c r="Z470">
        <v>50</v>
      </c>
      <c r="AA470" t="s">
        <v>108</v>
      </c>
      <c r="AB470" t="s">
        <v>38</v>
      </c>
      <c r="AC470" t="s">
        <v>81</v>
      </c>
      <c r="AD470">
        <v>23842.98</v>
      </c>
      <c r="AE470" t="b">
        <v>0</v>
      </c>
      <c r="AF470">
        <v>1220571.3899999999</v>
      </c>
    </row>
    <row r="471" spans="1:32" x14ac:dyDescent="0.3">
      <c r="A471" t="s">
        <v>1065</v>
      </c>
      <c r="B471" t="s">
        <v>1066</v>
      </c>
      <c r="C471" t="s">
        <v>103</v>
      </c>
      <c r="D471" t="s">
        <v>31</v>
      </c>
      <c r="E471">
        <v>852200</v>
      </c>
      <c r="F471">
        <v>84</v>
      </c>
      <c r="G471">
        <v>10.37</v>
      </c>
      <c r="H471">
        <v>787256.65</v>
      </c>
      <c r="I471">
        <v>0</v>
      </c>
      <c r="J471">
        <v>0</v>
      </c>
      <c r="K471">
        <v>0</v>
      </c>
      <c r="L471">
        <v>1</v>
      </c>
      <c r="M471">
        <v>142117484.08000001</v>
      </c>
      <c r="N471" s="1">
        <v>45596</v>
      </c>
      <c r="O471" t="s">
        <v>32</v>
      </c>
      <c r="P471" t="s">
        <v>50</v>
      </c>
      <c r="Q471" s="1">
        <v>45563</v>
      </c>
      <c r="R471" t="s">
        <v>68</v>
      </c>
      <c r="S471" t="s">
        <v>133</v>
      </c>
      <c r="T471">
        <v>2024</v>
      </c>
      <c r="U471">
        <v>838</v>
      </c>
      <c r="V471">
        <v>823</v>
      </c>
      <c r="W471" t="s">
        <v>57</v>
      </c>
      <c r="X471">
        <v>2714000</v>
      </c>
      <c r="Y471">
        <v>6.3299999999999995E-2</v>
      </c>
      <c r="Z471">
        <v>43</v>
      </c>
      <c r="AA471" t="s">
        <v>64</v>
      </c>
      <c r="AB471" t="s">
        <v>38</v>
      </c>
      <c r="AC471" t="s">
        <v>54</v>
      </c>
      <c r="AD471">
        <v>14310.98</v>
      </c>
      <c r="AE471" t="b">
        <v>0</v>
      </c>
      <c r="AF471">
        <v>1110143.6200000001</v>
      </c>
    </row>
    <row r="472" spans="1:32" x14ac:dyDescent="0.3">
      <c r="A472" t="s">
        <v>1067</v>
      </c>
      <c r="B472" t="s">
        <v>1068</v>
      </c>
      <c r="C472" t="s">
        <v>98</v>
      </c>
      <c r="D472" t="s">
        <v>84</v>
      </c>
      <c r="E472">
        <v>759700</v>
      </c>
      <c r="F472">
        <v>36</v>
      </c>
      <c r="G472">
        <v>10.130000000000001</v>
      </c>
      <c r="H472">
        <v>325885.24</v>
      </c>
      <c r="I472">
        <v>0</v>
      </c>
      <c r="J472">
        <v>0</v>
      </c>
      <c r="K472">
        <v>0</v>
      </c>
      <c r="L472">
        <v>1</v>
      </c>
      <c r="M472">
        <v>142117484.08000001</v>
      </c>
      <c r="N472" s="1">
        <v>45596</v>
      </c>
      <c r="O472" t="s">
        <v>32</v>
      </c>
      <c r="P472" t="s">
        <v>44</v>
      </c>
      <c r="Q472" s="1">
        <v>44989</v>
      </c>
      <c r="R472" t="s">
        <v>94</v>
      </c>
      <c r="S472" t="s">
        <v>95</v>
      </c>
      <c r="T472">
        <v>2021</v>
      </c>
      <c r="U472">
        <v>838</v>
      </c>
      <c r="V472">
        <v>829</v>
      </c>
      <c r="W472" t="s">
        <v>57</v>
      </c>
      <c r="X472">
        <v>1977000</v>
      </c>
      <c r="Y472">
        <v>0.14910000000000001</v>
      </c>
      <c r="Z472">
        <v>40</v>
      </c>
      <c r="AA472" t="s">
        <v>76</v>
      </c>
      <c r="AB472" t="s">
        <v>38</v>
      </c>
      <c r="AC472" t="s">
        <v>54</v>
      </c>
      <c r="AD472">
        <v>24559.78</v>
      </c>
      <c r="AE472" t="b">
        <v>0</v>
      </c>
      <c r="AF472">
        <v>638084.80000000005</v>
      </c>
    </row>
    <row r="473" spans="1:32" x14ac:dyDescent="0.3">
      <c r="A473" t="s">
        <v>1069</v>
      </c>
      <c r="B473" t="s">
        <v>1070</v>
      </c>
      <c r="C473" t="s">
        <v>98</v>
      </c>
      <c r="D473" t="s">
        <v>84</v>
      </c>
      <c r="E473">
        <v>691800</v>
      </c>
      <c r="F473">
        <v>72</v>
      </c>
      <c r="G473">
        <v>8.9600000000000009</v>
      </c>
      <c r="H473">
        <v>328507.12</v>
      </c>
      <c r="I473">
        <v>0</v>
      </c>
      <c r="J473">
        <v>0</v>
      </c>
      <c r="K473">
        <v>0</v>
      </c>
      <c r="L473">
        <v>1</v>
      </c>
      <c r="M473">
        <v>142117484.08000001</v>
      </c>
      <c r="N473" s="1">
        <v>45596</v>
      </c>
      <c r="O473" t="s">
        <v>32</v>
      </c>
      <c r="P473" t="s">
        <v>33</v>
      </c>
      <c r="Q473" s="1">
        <v>44386</v>
      </c>
      <c r="R473" t="s">
        <v>94</v>
      </c>
      <c r="S473" t="s">
        <v>95</v>
      </c>
      <c r="T473">
        <v>2017</v>
      </c>
      <c r="U473">
        <v>839</v>
      </c>
      <c r="V473">
        <v>804</v>
      </c>
      <c r="W473" t="s">
        <v>63</v>
      </c>
      <c r="X473">
        <v>4705000</v>
      </c>
      <c r="Y473">
        <v>3.1800000000000002E-2</v>
      </c>
      <c r="Z473">
        <v>25</v>
      </c>
      <c r="AA473" t="s">
        <v>80</v>
      </c>
      <c r="AB473" t="s">
        <v>38</v>
      </c>
      <c r="AC473" t="s">
        <v>81</v>
      </c>
      <c r="AD473">
        <v>12456.34</v>
      </c>
      <c r="AE473" t="b">
        <v>0</v>
      </c>
      <c r="AF473">
        <v>581670.98</v>
      </c>
    </row>
    <row r="474" spans="1:32" x14ac:dyDescent="0.3">
      <c r="A474" t="s">
        <v>1071</v>
      </c>
      <c r="B474" t="s">
        <v>1072</v>
      </c>
      <c r="C474" t="s">
        <v>103</v>
      </c>
      <c r="D474" t="s">
        <v>31</v>
      </c>
      <c r="E474">
        <v>1207800</v>
      </c>
      <c r="F474">
        <v>60</v>
      </c>
      <c r="G474">
        <v>13.51</v>
      </c>
      <c r="H474">
        <v>417677.38</v>
      </c>
      <c r="I474">
        <v>9</v>
      </c>
      <c r="J474">
        <v>0</v>
      </c>
      <c r="K474">
        <v>0</v>
      </c>
      <c r="L474">
        <v>1</v>
      </c>
      <c r="M474">
        <v>142117484.08000001</v>
      </c>
      <c r="N474" s="1">
        <v>45596</v>
      </c>
      <c r="O474" t="s">
        <v>139</v>
      </c>
      <c r="P474" t="s">
        <v>44</v>
      </c>
      <c r="Q474" s="1">
        <v>44456</v>
      </c>
      <c r="R474" t="s">
        <v>94</v>
      </c>
      <c r="S474" t="s">
        <v>95</v>
      </c>
      <c r="T474">
        <v>2021</v>
      </c>
      <c r="U474">
        <v>839</v>
      </c>
      <c r="V474">
        <v>808</v>
      </c>
      <c r="W474" t="s">
        <v>63</v>
      </c>
      <c r="X474">
        <v>4578000</v>
      </c>
      <c r="Y474">
        <v>7.2900000000000006E-2</v>
      </c>
      <c r="Z474">
        <v>63</v>
      </c>
      <c r="AA474" t="s">
        <v>148</v>
      </c>
      <c r="AB474" t="s">
        <v>38</v>
      </c>
      <c r="AC474" t="s">
        <v>39</v>
      </c>
      <c r="AD474">
        <v>27797.51</v>
      </c>
      <c r="AE474" t="b">
        <v>0</v>
      </c>
      <c r="AF474">
        <v>860655.16</v>
      </c>
    </row>
    <row r="475" spans="1:32" x14ac:dyDescent="0.3">
      <c r="A475" t="s">
        <v>1073</v>
      </c>
      <c r="B475" t="s">
        <v>1074</v>
      </c>
      <c r="C475" t="s">
        <v>42</v>
      </c>
      <c r="D475" t="s">
        <v>31</v>
      </c>
      <c r="E475">
        <v>370100</v>
      </c>
      <c r="F475">
        <v>60</v>
      </c>
      <c r="G475">
        <v>13.32</v>
      </c>
      <c r="H475">
        <v>100641.4</v>
      </c>
      <c r="I475">
        <v>86</v>
      </c>
      <c r="J475">
        <v>0</v>
      </c>
      <c r="K475">
        <v>0</v>
      </c>
      <c r="L475">
        <v>2</v>
      </c>
      <c r="M475">
        <v>142117484.08000001</v>
      </c>
      <c r="N475" s="1">
        <v>45596</v>
      </c>
      <c r="O475" t="s">
        <v>122</v>
      </c>
      <c r="P475" t="s">
        <v>33</v>
      </c>
      <c r="Q475" s="1">
        <v>44285</v>
      </c>
      <c r="R475" t="s">
        <v>99</v>
      </c>
      <c r="S475" t="s">
        <v>219</v>
      </c>
      <c r="T475">
        <v>2021</v>
      </c>
      <c r="U475">
        <v>839</v>
      </c>
      <c r="V475">
        <v>852</v>
      </c>
      <c r="W475" t="s">
        <v>63</v>
      </c>
      <c r="X475">
        <v>4554000</v>
      </c>
      <c r="Y475">
        <v>2.23E-2</v>
      </c>
      <c r="Z475">
        <v>31</v>
      </c>
      <c r="AA475" t="s">
        <v>53</v>
      </c>
      <c r="AB475" t="s">
        <v>38</v>
      </c>
      <c r="AC475" t="s">
        <v>54</v>
      </c>
      <c r="AD475">
        <v>8481.66</v>
      </c>
      <c r="AE475" t="b">
        <v>0</v>
      </c>
      <c r="AF475">
        <v>280438.40999999997</v>
      </c>
    </row>
    <row r="476" spans="1:32" x14ac:dyDescent="0.3">
      <c r="A476" t="s">
        <v>1075</v>
      </c>
      <c r="B476" t="s">
        <v>1076</v>
      </c>
      <c r="C476" t="s">
        <v>30</v>
      </c>
      <c r="D476" t="s">
        <v>43</v>
      </c>
      <c r="E476">
        <v>723800</v>
      </c>
      <c r="F476">
        <v>36</v>
      </c>
      <c r="G476">
        <v>7.72</v>
      </c>
      <c r="H476">
        <v>41887.35</v>
      </c>
      <c r="I476">
        <v>0</v>
      </c>
      <c r="J476">
        <v>0</v>
      </c>
      <c r="K476">
        <v>0</v>
      </c>
      <c r="L476">
        <v>1</v>
      </c>
      <c r="M476">
        <v>142117484.08000001</v>
      </c>
      <c r="N476" s="1">
        <v>45596</v>
      </c>
      <c r="O476" t="s">
        <v>32</v>
      </c>
      <c r="P476" t="s">
        <v>33</v>
      </c>
      <c r="Q476" s="1">
        <v>44555</v>
      </c>
      <c r="R476" t="s">
        <v>51</v>
      </c>
      <c r="S476" t="s">
        <v>79</v>
      </c>
      <c r="T476">
        <v>2016</v>
      </c>
      <c r="U476">
        <v>839</v>
      </c>
      <c r="V476">
        <v>807</v>
      </c>
      <c r="W476" t="s">
        <v>36</v>
      </c>
      <c r="X476">
        <v>2656000</v>
      </c>
      <c r="Y476">
        <v>0.1021</v>
      </c>
      <c r="Z476">
        <v>43</v>
      </c>
      <c r="AA476" t="s">
        <v>91</v>
      </c>
      <c r="AB476" t="s">
        <v>38</v>
      </c>
      <c r="AC476" t="s">
        <v>54</v>
      </c>
      <c r="AD476">
        <v>22587.88</v>
      </c>
      <c r="AE476" t="b">
        <v>0</v>
      </c>
      <c r="AF476">
        <v>609030.66</v>
      </c>
    </row>
    <row r="477" spans="1:32" x14ac:dyDescent="0.3">
      <c r="A477" t="s">
        <v>1077</v>
      </c>
      <c r="B477" t="s">
        <v>1078</v>
      </c>
      <c r="C477" t="s">
        <v>30</v>
      </c>
      <c r="D477" t="s">
        <v>31</v>
      </c>
      <c r="E477">
        <v>620200</v>
      </c>
      <c r="F477">
        <v>72</v>
      </c>
      <c r="G477">
        <v>14.35</v>
      </c>
      <c r="H477">
        <v>474850.96</v>
      </c>
      <c r="I477">
        <v>15</v>
      </c>
      <c r="J477">
        <v>0</v>
      </c>
      <c r="K477">
        <v>0</v>
      </c>
      <c r="L477">
        <v>1</v>
      </c>
      <c r="M477">
        <v>142117484.08000001</v>
      </c>
      <c r="N477" s="1">
        <v>45596</v>
      </c>
      <c r="O477" t="s">
        <v>139</v>
      </c>
      <c r="P477" t="s">
        <v>33</v>
      </c>
      <c r="Q477" s="1">
        <v>45224</v>
      </c>
      <c r="R477" t="s">
        <v>51</v>
      </c>
      <c r="S477" t="s">
        <v>194</v>
      </c>
      <c r="T477">
        <v>2023</v>
      </c>
      <c r="U477">
        <v>840</v>
      </c>
      <c r="V477">
        <v>861</v>
      </c>
      <c r="W477" t="s">
        <v>57</v>
      </c>
      <c r="X477">
        <v>878000</v>
      </c>
      <c r="Y477">
        <v>0.17630000000000001</v>
      </c>
      <c r="Z477">
        <v>48</v>
      </c>
      <c r="AA477" t="s">
        <v>53</v>
      </c>
      <c r="AB477" t="s">
        <v>38</v>
      </c>
      <c r="AC477" t="s">
        <v>81</v>
      </c>
      <c r="AD477">
        <v>12896.2</v>
      </c>
      <c r="AE477" t="b">
        <v>0</v>
      </c>
      <c r="AF477">
        <v>783097.55</v>
      </c>
    </row>
    <row r="478" spans="1:32" x14ac:dyDescent="0.3">
      <c r="A478" t="s">
        <v>1079</v>
      </c>
      <c r="B478" t="s">
        <v>1080</v>
      </c>
      <c r="C478" t="s">
        <v>103</v>
      </c>
      <c r="D478" t="s">
        <v>31</v>
      </c>
      <c r="E478">
        <v>2894400</v>
      </c>
      <c r="F478">
        <v>72</v>
      </c>
      <c r="G478">
        <v>10.47</v>
      </c>
      <c r="H478">
        <v>1215506.93</v>
      </c>
      <c r="I478">
        <v>0</v>
      </c>
      <c r="J478">
        <v>0</v>
      </c>
      <c r="K478">
        <v>0</v>
      </c>
      <c r="L478">
        <v>1</v>
      </c>
      <c r="M478">
        <v>142117484.08000001</v>
      </c>
      <c r="N478" s="1">
        <v>45596</v>
      </c>
      <c r="O478" t="s">
        <v>32</v>
      </c>
      <c r="P478" t="s">
        <v>50</v>
      </c>
      <c r="Q478" s="1">
        <v>44313</v>
      </c>
      <c r="R478" t="s">
        <v>99</v>
      </c>
      <c r="S478" t="s">
        <v>480</v>
      </c>
      <c r="T478">
        <v>2021</v>
      </c>
      <c r="U478">
        <v>840</v>
      </c>
      <c r="V478">
        <v>820</v>
      </c>
      <c r="W478" t="s">
        <v>36</v>
      </c>
      <c r="X478">
        <v>2278000</v>
      </c>
      <c r="Y478">
        <v>0.28610000000000002</v>
      </c>
      <c r="Z478">
        <v>58</v>
      </c>
      <c r="AA478" t="s">
        <v>91</v>
      </c>
      <c r="AB478" t="s">
        <v>38</v>
      </c>
      <c r="AC478" t="s">
        <v>81</v>
      </c>
      <c r="AD478">
        <v>54309.73</v>
      </c>
      <c r="AE478" t="b">
        <v>0</v>
      </c>
      <c r="AF478">
        <v>1486799.59</v>
      </c>
    </row>
    <row r="479" spans="1:32" x14ac:dyDescent="0.3">
      <c r="A479" t="s">
        <v>1081</v>
      </c>
      <c r="B479" t="s">
        <v>1082</v>
      </c>
      <c r="C479" t="s">
        <v>42</v>
      </c>
      <c r="D479" t="s">
        <v>31</v>
      </c>
      <c r="E479">
        <v>292400</v>
      </c>
      <c r="F479">
        <v>48</v>
      </c>
      <c r="G479">
        <v>8.6300000000000008</v>
      </c>
      <c r="H479">
        <v>28711.759999999998</v>
      </c>
      <c r="I479">
        <v>0</v>
      </c>
      <c r="J479">
        <v>0</v>
      </c>
      <c r="K479">
        <v>0</v>
      </c>
      <c r="L479">
        <v>1</v>
      </c>
      <c r="M479">
        <v>142117484.08000001</v>
      </c>
      <c r="N479" s="1">
        <v>45596</v>
      </c>
      <c r="O479" t="s">
        <v>32</v>
      </c>
      <c r="P479" t="s">
        <v>50</v>
      </c>
      <c r="Q479" s="1">
        <v>44263</v>
      </c>
      <c r="R479" t="s">
        <v>45</v>
      </c>
      <c r="S479" t="s">
        <v>107</v>
      </c>
      <c r="T479">
        <v>2021</v>
      </c>
      <c r="U479">
        <v>841</v>
      </c>
      <c r="V479">
        <v>865</v>
      </c>
      <c r="W479" t="s">
        <v>63</v>
      </c>
      <c r="X479">
        <v>4842000</v>
      </c>
      <c r="Y479">
        <v>1.7899999999999999E-2</v>
      </c>
      <c r="Z479">
        <v>63</v>
      </c>
      <c r="AA479" t="s">
        <v>104</v>
      </c>
      <c r="AB479" t="s">
        <v>38</v>
      </c>
      <c r="AC479" t="s">
        <v>54</v>
      </c>
      <c r="AD479">
        <v>7225.12</v>
      </c>
      <c r="AE479" t="b">
        <v>0</v>
      </c>
      <c r="AF479">
        <v>193979.95</v>
      </c>
    </row>
    <row r="480" spans="1:32" x14ac:dyDescent="0.3">
      <c r="A480" t="s">
        <v>1083</v>
      </c>
      <c r="B480" t="s">
        <v>1084</v>
      </c>
      <c r="C480" t="s">
        <v>103</v>
      </c>
      <c r="D480" t="s">
        <v>31</v>
      </c>
      <c r="E480">
        <v>1514200</v>
      </c>
      <c r="F480">
        <v>60</v>
      </c>
      <c r="G480">
        <v>11.34</v>
      </c>
      <c r="H480">
        <v>1428279.26</v>
      </c>
      <c r="I480">
        <v>0</v>
      </c>
      <c r="J480">
        <v>0</v>
      </c>
      <c r="K480">
        <v>0</v>
      </c>
      <c r="L480">
        <v>1</v>
      </c>
      <c r="M480">
        <v>142117484.08000001</v>
      </c>
      <c r="N480" s="1">
        <v>45596</v>
      </c>
      <c r="O480" t="s">
        <v>32</v>
      </c>
      <c r="P480" t="s">
        <v>33</v>
      </c>
      <c r="Q480" s="1">
        <v>45558</v>
      </c>
      <c r="R480" t="s">
        <v>89</v>
      </c>
      <c r="S480" t="s">
        <v>183</v>
      </c>
      <c r="T480">
        <v>2024</v>
      </c>
      <c r="U480">
        <v>841</v>
      </c>
      <c r="V480">
        <v>843</v>
      </c>
      <c r="W480" t="s">
        <v>63</v>
      </c>
      <c r="X480">
        <v>3012000</v>
      </c>
      <c r="Y480">
        <v>0.13220000000000001</v>
      </c>
      <c r="Z480">
        <v>47</v>
      </c>
      <c r="AA480" t="s">
        <v>64</v>
      </c>
      <c r="AB480" t="s">
        <v>38</v>
      </c>
      <c r="AC480" t="s">
        <v>39</v>
      </c>
      <c r="AD480">
        <v>33179.71</v>
      </c>
      <c r="AE480" t="b">
        <v>1</v>
      </c>
      <c r="AF480">
        <v>2284797.1800000002</v>
      </c>
    </row>
    <row r="481" spans="1:32" x14ac:dyDescent="0.3">
      <c r="A481" t="s">
        <v>1085</v>
      </c>
      <c r="B481" t="s">
        <v>1086</v>
      </c>
      <c r="C481" t="s">
        <v>42</v>
      </c>
      <c r="D481" t="s">
        <v>31</v>
      </c>
      <c r="E481">
        <v>865800</v>
      </c>
      <c r="F481">
        <v>60</v>
      </c>
      <c r="G481">
        <v>9.16</v>
      </c>
      <c r="H481">
        <v>510411.05</v>
      </c>
      <c r="I481">
        <v>61</v>
      </c>
      <c r="J481">
        <v>0</v>
      </c>
      <c r="K481">
        <v>0</v>
      </c>
      <c r="L481">
        <v>2</v>
      </c>
      <c r="M481">
        <v>142117484.08000001</v>
      </c>
      <c r="N481" s="1">
        <v>45596</v>
      </c>
      <c r="O481" t="s">
        <v>122</v>
      </c>
      <c r="P481" t="s">
        <v>33</v>
      </c>
      <c r="Q481" s="1">
        <v>44799</v>
      </c>
      <c r="R481" t="s">
        <v>89</v>
      </c>
      <c r="S481" t="s">
        <v>358</v>
      </c>
      <c r="T481">
        <v>2022</v>
      </c>
      <c r="U481">
        <v>841</v>
      </c>
      <c r="V481">
        <v>807</v>
      </c>
      <c r="W481" t="s">
        <v>57</v>
      </c>
      <c r="X481">
        <v>650000</v>
      </c>
      <c r="Y481">
        <v>0.33300000000000002</v>
      </c>
      <c r="Z481">
        <v>51</v>
      </c>
      <c r="AA481" t="s">
        <v>162</v>
      </c>
      <c r="AB481" t="s">
        <v>38</v>
      </c>
      <c r="AC481" t="s">
        <v>39</v>
      </c>
      <c r="AD481">
        <v>18039.89</v>
      </c>
      <c r="AE481" t="b">
        <v>0</v>
      </c>
      <c r="AF481">
        <v>783543.35</v>
      </c>
    </row>
    <row r="482" spans="1:32" x14ac:dyDescent="0.3">
      <c r="A482" t="s">
        <v>1087</v>
      </c>
      <c r="B482" t="s">
        <v>1088</v>
      </c>
      <c r="C482" t="s">
        <v>103</v>
      </c>
      <c r="D482" t="s">
        <v>31</v>
      </c>
      <c r="E482">
        <v>655800</v>
      </c>
      <c r="F482">
        <v>36</v>
      </c>
      <c r="G482">
        <v>7.87</v>
      </c>
      <c r="H482">
        <v>35325.839999999997</v>
      </c>
      <c r="I482">
        <v>0</v>
      </c>
      <c r="J482">
        <v>0</v>
      </c>
      <c r="K482">
        <v>56469.8</v>
      </c>
      <c r="L482">
        <v>1</v>
      </c>
      <c r="M482">
        <v>142117484.08000001</v>
      </c>
      <c r="N482" s="1">
        <v>45596</v>
      </c>
      <c r="O482" t="s">
        <v>32</v>
      </c>
      <c r="P482" t="s">
        <v>33</v>
      </c>
      <c r="Q482" s="1">
        <v>44539</v>
      </c>
      <c r="R482" t="s">
        <v>34</v>
      </c>
      <c r="S482" t="s">
        <v>186</v>
      </c>
      <c r="T482">
        <v>2021</v>
      </c>
      <c r="U482">
        <v>842</v>
      </c>
      <c r="V482">
        <v>860</v>
      </c>
      <c r="W482" t="s">
        <v>70</v>
      </c>
      <c r="X482">
        <v>3807000</v>
      </c>
      <c r="Y482">
        <v>6.4699999999999994E-2</v>
      </c>
      <c r="Z482">
        <v>43</v>
      </c>
      <c r="AA482" t="s">
        <v>113</v>
      </c>
      <c r="AB482" t="s">
        <v>38</v>
      </c>
      <c r="AC482" t="s">
        <v>81</v>
      </c>
      <c r="AD482">
        <v>20511.080000000002</v>
      </c>
      <c r="AE482" t="b">
        <v>0</v>
      </c>
      <c r="AF482">
        <v>542119.75</v>
      </c>
    </row>
    <row r="483" spans="1:32" x14ac:dyDescent="0.3">
      <c r="A483" t="s">
        <v>1089</v>
      </c>
      <c r="B483" t="s">
        <v>1090</v>
      </c>
      <c r="C483" t="s">
        <v>42</v>
      </c>
      <c r="D483" t="s">
        <v>31</v>
      </c>
      <c r="E483">
        <v>500400</v>
      </c>
      <c r="F483">
        <v>48</v>
      </c>
      <c r="G483">
        <v>12.25</v>
      </c>
      <c r="H483">
        <v>285162.07</v>
      </c>
      <c r="I483">
        <v>259</v>
      </c>
      <c r="J483">
        <v>0</v>
      </c>
      <c r="K483">
        <v>0</v>
      </c>
      <c r="L483">
        <v>3</v>
      </c>
      <c r="M483">
        <v>142117484.08000001</v>
      </c>
      <c r="N483" s="1">
        <v>45596</v>
      </c>
      <c r="O483" t="s">
        <v>260</v>
      </c>
      <c r="P483" t="s">
        <v>74</v>
      </c>
      <c r="Q483" s="1">
        <v>45018</v>
      </c>
      <c r="R483" t="s">
        <v>99</v>
      </c>
      <c r="S483" t="s">
        <v>219</v>
      </c>
      <c r="T483">
        <v>2023</v>
      </c>
      <c r="U483">
        <v>842</v>
      </c>
      <c r="V483">
        <v>846</v>
      </c>
      <c r="W483" t="s">
        <v>70</v>
      </c>
      <c r="X483">
        <v>829000</v>
      </c>
      <c r="Y483">
        <v>0.19159999999999999</v>
      </c>
      <c r="Z483">
        <v>23</v>
      </c>
      <c r="AA483" t="s">
        <v>226</v>
      </c>
      <c r="AB483" t="s">
        <v>38</v>
      </c>
      <c r="AC483" t="s">
        <v>54</v>
      </c>
      <c r="AD483">
        <v>13238.96</v>
      </c>
      <c r="AE483" t="b">
        <v>0</v>
      </c>
      <c r="AF483">
        <v>560017.82999999996</v>
      </c>
    </row>
    <row r="484" spans="1:32" x14ac:dyDescent="0.3">
      <c r="A484" t="s">
        <v>1091</v>
      </c>
      <c r="B484" t="s">
        <v>1092</v>
      </c>
      <c r="C484" t="s">
        <v>30</v>
      </c>
      <c r="D484" t="s">
        <v>31</v>
      </c>
      <c r="E484">
        <v>1339600</v>
      </c>
      <c r="F484">
        <v>60</v>
      </c>
      <c r="G484">
        <v>12.17</v>
      </c>
      <c r="H484">
        <v>1043249.83</v>
      </c>
      <c r="I484">
        <v>0</v>
      </c>
      <c r="J484">
        <v>0</v>
      </c>
      <c r="K484">
        <v>0</v>
      </c>
      <c r="L484">
        <v>1</v>
      </c>
      <c r="M484">
        <v>142117484.08000001</v>
      </c>
      <c r="N484" s="1">
        <v>45596</v>
      </c>
      <c r="O484" t="s">
        <v>32</v>
      </c>
      <c r="P484" t="s">
        <v>74</v>
      </c>
      <c r="Q484" s="1">
        <v>45233</v>
      </c>
      <c r="R484" t="s">
        <v>45</v>
      </c>
      <c r="S484" t="s">
        <v>107</v>
      </c>
      <c r="T484">
        <v>2023</v>
      </c>
      <c r="U484">
        <v>842</v>
      </c>
      <c r="V484">
        <v>797</v>
      </c>
      <c r="W484" t="s">
        <v>70</v>
      </c>
      <c r="X484">
        <v>4644000</v>
      </c>
      <c r="Y484">
        <v>7.7299999999999994E-2</v>
      </c>
      <c r="Z484">
        <v>56</v>
      </c>
      <c r="AA484" t="s">
        <v>91</v>
      </c>
      <c r="AB484" t="s">
        <v>38</v>
      </c>
      <c r="AC484" t="s">
        <v>54</v>
      </c>
      <c r="AD484">
        <v>29913.87</v>
      </c>
      <c r="AE484" t="b">
        <v>0</v>
      </c>
      <c r="AF484">
        <v>1233494.4099999999</v>
      </c>
    </row>
    <row r="485" spans="1:32" x14ac:dyDescent="0.3">
      <c r="A485" t="s">
        <v>1093</v>
      </c>
      <c r="B485" t="s">
        <v>1094</v>
      </c>
      <c r="C485" t="s">
        <v>98</v>
      </c>
      <c r="D485" t="s">
        <v>31</v>
      </c>
      <c r="E485">
        <v>833800</v>
      </c>
      <c r="F485">
        <v>60</v>
      </c>
      <c r="G485">
        <v>9.5</v>
      </c>
      <c r="H485">
        <v>206174.66</v>
      </c>
      <c r="I485">
        <v>0</v>
      </c>
      <c r="J485">
        <v>0</v>
      </c>
      <c r="K485">
        <v>0</v>
      </c>
      <c r="L485">
        <v>1</v>
      </c>
      <c r="M485">
        <v>142117484.08000001</v>
      </c>
      <c r="N485" s="1">
        <v>45596</v>
      </c>
      <c r="O485" t="s">
        <v>32</v>
      </c>
      <c r="P485" t="s">
        <v>33</v>
      </c>
      <c r="Q485" s="1">
        <v>44233</v>
      </c>
      <c r="R485" t="s">
        <v>45</v>
      </c>
      <c r="S485" t="s">
        <v>46</v>
      </c>
      <c r="T485">
        <v>2021</v>
      </c>
      <c r="U485">
        <v>843</v>
      </c>
      <c r="V485">
        <v>869</v>
      </c>
      <c r="W485" t="s">
        <v>36</v>
      </c>
      <c r="X485">
        <v>1329000</v>
      </c>
      <c r="Y485">
        <v>0.15809999999999999</v>
      </c>
      <c r="Z485">
        <v>53</v>
      </c>
      <c r="AA485" t="s">
        <v>108</v>
      </c>
      <c r="AB485" t="s">
        <v>38</v>
      </c>
      <c r="AC485" t="s">
        <v>54</v>
      </c>
      <c r="AD485">
        <v>17511.349999999999</v>
      </c>
      <c r="AE485" t="b">
        <v>0</v>
      </c>
      <c r="AF485">
        <v>587379.62</v>
      </c>
    </row>
    <row r="486" spans="1:32" x14ac:dyDescent="0.3">
      <c r="A486" t="s">
        <v>1095</v>
      </c>
      <c r="B486" t="s">
        <v>1096</v>
      </c>
      <c r="C486" t="s">
        <v>42</v>
      </c>
      <c r="D486" t="s">
        <v>31</v>
      </c>
      <c r="E486">
        <v>443200</v>
      </c>
      <c r="F486">
        <v>72</v>
      </c>
      <c r="G486">
        <v>13.23</v>
      </c>
      <c r="H486">
        <v>228540.42</v>
      </c>
      <c r="I486">
        <v>0</v>
      </c>
      <c r="J486">
        <v>0</v>
      </c>
      <c r="K486">
        <v>0</v>
      </c>
      <c r="L486">
        <v>1</v>
      </c>
      <c r="M486">
        <v>142117484.08000001</v>
      </c>
      <c r="N486" s="1">
        <v>45596</v>
      </c>
      <c r="O486" t="s">
        <v>32</v>
      </c>
      <c r="P486" t="s">
        <v>74</v>
      </c>
      <c r="Q486" s="1">
        <v>44618</v>
      </c>
      <c r="R486" t="s">
        <v>99</v>
      </c>
      <c r="S486" t="s">
        <v>100</v>
      </c>
      <c r="T486">
        <v>2022</v>
      </c>
      <c r="U486">
        <v>844</v>
      </c>
      <c r="V486">
        <v>861</v>
      </c>
      <c r="W486" t="s">
        <v>63</v>
      </c>
      <c r="X486">
        <v>4126000</v>
      </c>
      <c r="Y486">
        <v>2.5999999999999999E-2</v>
      </c>
      <c r="Z486">
        <v>45</v>
      </c>
      <c r="AA486" t="s">
        <v>108</v>
      </c>
      <c r="AB486" t="s">
        <v>38</v>
      </c>
      <c r="AC486" t="s">
        <v>39</v>
      </c>
      <c r="AD486">
        <v>8950.73</v>
      </c>
      <c r="AE486" t="b">
        <v>0</v>
      </c>
      <c r="AF486">
        <v>339281.37</v>
      </c>
    </row>
    <row r="487" spans="1:32" x14ac:dyDescent="0.3">
      <c r="A487" t="s">
        <v>1097</v>
      </c>
      <c r="B487" t="s">
        <v>1098</v>
      </c>
      <c r="C487" t="s">
        <v>30</v>
      </c>
      <c r="D487" t="s">
        <v>31</v>
      </c>
      <c r="E487">
        <v>644500</v>
      </c>
      <c r="F487">
        <v>72</v>
      </c>
      <c r="G487">
        <v>9.41</v>
      </c>
      <c r="H487">
        <v>354054.11</v>
      </c>
      <c r="I487">
        <v>0</v>
      </c>
      <c r="J487">
        <v>0</v>
      </c>
      <c r="K487">
        <v>0</v>
      </c>
      <c r="L487">
        <v>1</v>
      </c>
      <c r="M487">
        <v>142117484.08000001</v>
      </c>
      <c r="N487" s="1">
        <v>45596</v>
      </c>
      <c r="O487" t="s">
        <v>32</v>
      </c>
      <c r="P487" t="s">
        <v>74</v>
      </c>
      <c r="Q487" s="1">
        <v>44566</v>
      </c>
      <c r="R487" t="s">
        <v>99</v>
      </c>
      <c r="S487" t="s">
        <v>219</v>
      </c>
      <c r="T487">
        <v>2022</v>
      </c>
      <c r="U487">
        <v>845</v>
      </c>
      <c r="V487">
        <v>806</v>
      </c>
      <c r="W487" t="s">
        <v>63</v>
      </c>
      <c r="X487">
        <v>2601000</v>
      </c>
      <c r="Y487">
        <v>5.4199999999999998E-2</v>
      </c>
      <c r="Z487">
        <v>60</v>
      </c>
      <c r="AA487" t="s">
        <v>226</v>
      </c>
      <c r="AB487" t="s">
        <v>38</v>
      </c>
      <c r="AC487" t="s">
        <v>54</v>
      </c>
      <c r="AD487">
        <v>11749.04</v>
      </c>
      <c r="AE487" t="b">
        <v>0</v>
      </c>
      <c r="AF487">
        <v>593199.28</v>
      </c>
    </row>
    <row r="488" spans="1:32" x14ac:dyDescent="0.3">
      <c r="A488" t="s">
        <v>1099</v>
      </c>
      <c r="B488" t="s">
        <v>1100</v>
      </c>
      <c r="C488" t="s">
        <v>67</v>
      </c>
      <c r="D488" t="s">
        <v>31</v>
      </c>
      <c r="E488">
        <v>2272500</v>
      </c>
      <c r="F488">
        <v>60</v>
      </c>
      <c r="G488">
        <v>11.12</v>
      </c>
      <c r="H488">
        <v>1938341.85</v>
      </c>
      <c r="I488">
        <v>0</v>
      </c>
      <c r="J488">
        <v>0</v>
      </c>
      <c r="K488">
        <v>0</v>
      </c>
      <c r="L488">
        <v>1</v>
      </c>
      <c r="M488">
        <v>142117484.08000001</v>
      </c>
      <c r="N488" s="1">
        <v>45596</v>
      </c>
      <c r="O488" t="s">
        <v>32</v>
      </c>
      <c r="P488" t="s">
        <v>44</v>
      </c>
      <c r="Q488" s="1">
        <v>45380</v>
      </c>
      <c r="R488" t="s">
        <v>85</v>
      </c>
      <c r="S488" t="s">
        <v>86</v>
      </c>
      <c r="T488">
        <v>2024</v>
      </c>
      <c r="U488">
        <v>845</v>
      </c>
      <c r="V488">
        <v>875</v>
      </c>
      <c r="W488" t="s">
        <v>57</v>
      </c>
      <c r="X488">
        <v>2439000</v>
      </c>
      <c r="Y488">
        <v>0.24379999999999999</v>
      </c>
      <c r="Z488">
        <v>30</v>
      </c>
      <c r="AA488" t="s">
        <v>126</v>
      </c>
      <c r="AB488" t="s">
        <v>38</v>
      </c>
      <c r="AC488" t="s">
        <v>54</v>
      </c>
      <c r="AD488">
        <v>49545.760000000002</v>
      </c>
      <c r="AE488" t="b">
        <v>0</v>
      </c>
      <c r="AF488">
        <v>3234839.12</v>
      </c>
    </row>
    <row r="489" spans="1:32" x14ac:dyDescent="0.3">
      <c r="A489" t="s">
        <v>1101</v>
      </c>
      <c r="B489" t="s">
        <v>1102</v>
      </c>
      <c r="C489" t="s">
        <v>30</v>
      </c>
      <c r="D489" t="s">
        <v>31</v>
      </c>
      <c r="E489">
        <v>1189000</v>
      </c>
      <c r="F489">
        <v>72</v>
      </c>
      <c r="G489">
        <v>13.96</v>
      </c>
      <c r="H489">
        <v>630667.68999999994</v>
      </c>
      <c r="I489">
        <v>82</v>
      </c>
      <c r="J489">
        <v>0</v>
      </c>
      <c r="K489">
        <v>0</v>
      </c>
      <c r="L489">
        <v>2</v>
      </c>
      <c r="M489">
        <v>142117484.08000001</v>
      </c>
      <c r="N489" s="1">
        <v>45596</v>
      </c>
      <c r="O489" t="s">
        <v>122</v>
      </c>
      <c r="P489" t="s">
        <v>74</v>
      </c>
      <c r="Q489" s="1">
        <v>44671</v>
      </c>
      <c r="R489" t="s">
        <v>34</v>
      </c>
      <c r="S489" t="s">
        <v>361</v>
      </c>
      <c r="T489">
        <v>2022</v>
      </c>
      <c r="U489">
        <v>845</v>
      </c>
      <c r="V489">
        <v>842</v>
      </c>
      <c r="W489" t="s">
        <v>57</v>
      </c>
      <c r="X489">
        <v>589000</v>
      </c>
      <c r="Y489">
        <v>0.49859999999999999</v>
      </c>
      <c r="Z489">
        <v>31</v>
      </c>
      <c r="AA489" t="s">
        <v>53</v>
      </c>
      <c r="AB489" t="s">
        <v>38</v>
      </c>
      <c r="AC489" t="s">
        <v>54</v>
      </c>
      <c r="AD489">
        <v>24474.76</v>
      </c>
      <c r="AE489" t="b">
        <v>0</v>
      </c>
      <c r="AF489">
        <v>1062916.8999999999</v>
      </c>
    </row>
    <row r="490" spans="1:32" x14ac:dyDescent="0.3">
      <c r="A490" t="s">
        <v>1103</v>
      </c>
      <c r="B490" t="s">
        <v>1104</v>
      </c>
      <c r="C490" t="s">
        <v>67</v>
      </c>
      <c r="D490" t="s">
        <v>31</v>
      </c>
      <c r="E490">
        <v>2150400</v>
      </c>
      <c r="F490">
        <v>84</v>
      </c>
      <c r="G490">
        <v>13.13</v>
      </c>
      <c r="H490">
        <v>1962937.18</v>
      </c>
      <c r="I490">
        <v>0</v>
      </c>
      <c r="J490">
        <v>0</v>
      </c>
      <c r="K490">
        <v>0</v>
      </c>
      <c r="L490">
        <v>1</v>
      </c>
      <c r="M490">
        <v>142117484.08000001</v>
      </c>
      <c r="N490" s="1">
        <v>45596</v>
      </c>
      <c r="O490" t="s">
        <v>32</v>
      </c>
      <c r="P490" t="s">
        <v>50</v>
      </c>
      <c r="Q490" s="1">
        <v>45282</v>
      </c>
      <c r="R490" t="s">
        <v>85</v>
      </c>
      <c r="S490" t="s">
        <v>86</v>
      </c>
      <c r="T490">
        <v>2023</v>
      </c>
      <c r="U490">
        <v>846</v>
      </c>
      <c r="V490">
        <v>825</v>
      </c>
      <c r="W490" t="s">
        <v>57</v>
      </c>
      <c r="X490">
        <v>1062000</v>
      </c>
      <c r="Y490">
        <v>0.44379999999999997</v>
      </c>
      <c r="Z490">
        <v>58</v>
      </c>
      <c r="AA490" t="s">
        <v>47</v>
      </c>
      <c r="AB490" t="s">
        <v>38</v>
      </c>
      <c r="AC490" t="s">
        <v>54</v>
      </c>
      <c r="AD490">
        <v>39272.14</v>
      </c>
      <c r="AE490" t="b">
        <v>0</v>
      </c>
      <c r="AF490">
        <v>2456984.66</v>
      </c>
    </row>
    <row r="491" spans="1:32" x14ac:dyDescent="0.3">
      <c r="A491" t="s">
        <v>1105</v>
      </c>
      <c r="B491" t="s">
        <v>1106</v>
      </c>
      <c r="C491" t="s">
        <v>67</v>
      </c>
      <c r="D491" t="s">
        <v>31</v>
      </c>
      <c r="E491">
        <v>1465300</v>
      </c>
      <c r="F491">
        <v>36</v>
      </c>
      <c r="G491">
        <v>12.83</v>
      </c>
      <c r="H491">
        <v>534031.41</v>
      </c>
      <c r="I491">
        <v>0</v>
      </c>
      <c r="J491">
        <v>0</v>
      </c>
      <c r="K491">
        <v>0</v>
      </c>
      <c r="L491">
        <v>1</v>
      </c>
      <c r="M491">
        <v>142117484.08000001</v>
      </c>
      <c r="N491" s="1">
        <v>45596</v>
      </c>
      <c r="O491" t="s">
        <v>32</v>
      </c>
      <c r="P491" t="s">
        <v>44</v>
      </c>
      <c r="Q491" s="1">
        <v>44897</v>
      </c>
      <c r="R491" t="s">
        <v>85</v>
      </c>
      <c r="S491" t="s">
        <v>440</v>
      </c>
      <c r="T491">
        <v>2022</v>
      </c>
      <c r="U491">
        <v>846</v>
      </c>
      <c r="V491">
        <v>810</v>
      </c>
      <c r="W491" t="s">
        <v>63</v>
      </c>
      <c r="X491">
        <v>1472000</v>
      </c>
      <c r="Y491">
        <v>0.40150000000000002</v>
      </c>
      <c r="Z491">
        <v>55</v>
      </c>
      <c r="AA491" t="s">
        <v>126</v>
      </c>
      <c r="AB491" t="s">
        <v>38</v>
      </c>
      <c r="AC491" t="s">
        <v>54</v>
      </c>
      <c r="AD491">
        <v>49251.85</v>
      </c>
      <c r="AE491" t="b">
        <v>0</v>
      </c>
      <c r="AF491">
        <v>1675845.39</v>
      </c>
    </row>
    <row r="492" spans="1:32" x14ac:dyDescent="0.3">
      <c r="A492" t="s">
        <v>1107</v>
      </c>
      <c r="B492" t="s">
        <v>1108</v>
      </c>
      <c r="C492" t="s">
        <v>42</v>
      </c>
      <c r="D492" t="s">
        <v>31</v>
      </c>
      <c r="E492">
        <v>720700</v>
      </c>
      <c r="F492">
        <v>36</v>
      </c>
      <c r="G492">
        <v>12.71</v>
      </c>
      <c r="H492">
        <v>412871.86</v>
      </c>
      <c r="I492">
        <v>6</v>
      </c>
      <c r="J492">
        <v>0</v>
      </c>
      <c r="K492">
        <v>0</v>
      </c>
      <c r="L492">
        <v>1</v>
      </c>
      <c r="M492">
        <v>142117484.08000001</v>
      </c>
      <c r="N492" s="1">
        <v>45596</v>
      </c>
      <c r="O492" t="s">
        <v>139</v>
      </c>
      <c r="P492" t="s">
        <v>74</v>
      </c>
      <c r="Q492" s="1">
        <v>45124</v>
      </c>
      <c r="R492" t="s">
        <v>61</v>
      </c>
      <c r="S492" t="s">
        <v>136</v>
      </c>
      <c r="T492">
        <v>2023</v>
      </c>
      <c r="U492">
        <v>847</v>
      </c>
      <c r="V492">
        <v>848</v>
      </c>
      <c r="W492" t="s">
        <v>57</v>
      </c>
      <c r="X492">
        <v>863000</v>
      </c>
      <c r="Y492">
        <v>0.33629999999999999</v>
      </c>
      <c r="Z492">
        <v>47</v>
      </c>
      <c r="AA492" t="s">
        <v>140</v>
      </c>
      <c r="AB492" t="s">
        <v>38</v>
      </c>
      <c r="AC492" t="s">
        <v>81</v>
      </c>
      <c r="AD492">
        <v>24182.68</v>
      </c>
      <c r="AE492" t="b">
        <v>0</v>
      </c>
      <c r="AF492">
        <v>841436.33</v>
      </c>
    </row>
    <row r="493" spans="1:32" x14ac:dyDescent="0.3">
      <c r="A493" t="s">
        <v>1109</v>
      </c>
      <c r="B493" t="s">
        <v>1110</v>
      </c>
      <c r="C493" t="s">
        <v>67</v>
      </c>
      <c r="D493" t="s">
        <v>43</v>
      </c>
      <c r="E493">
        <v>2354300</v>
      </c>
      <c r="F493">
        <v>36</v>
      </c>
      <c r="G493">
        <v>10.6</v>
      </c>
      <c r="H493">
        <v>1726721.59</v>
      </c>
      <c r="I493">
        <v>0</v>
      </c>
      <c r="J493">
        <v>0</v>
      </c>
      <c r="K493">
        <v>0</v>
      </c>
      <c r="L493">
        <v>1</v>
      </c>
      <c r="M493">
        <v>142117484.08000001</v>
      </c>
      <c r="N493" s="1">
        <v>45596</v>
      </c>
      <c r="O493" t="s">
        <v>32</v>
      </c>
      <c r="P493" t="s">
        <v>74</v>
      </c>
      <c r="Q493" s="1">
        <v>45281</v>
      </c>
      <c r="R493" t="s">
        <v>85</v>
      </c>
      <c r="S493" t="s">
        <v>86</v>
      </c>
      <c r="T493">
        <v>2019</v>
      </c>
      <c r="U493">
        <v>847</v>
      </c>
      <c r="V493">
        <v>818</v>
      </c>
      <c r="W493" t="s">
        <v>57</v>
      </c>
      <c r="X493">
        <v>1218000</v>
      </c>
      <c r="Y493">
        <v>0.755</v>
      </c>
      <c r="Z493">
        <v>55</v>
      </c>
      <c r="AA493" t="s">
        <v>162</v>
      </c>
      <c r="AB493" t="s">
        <v>38</v>
      </c>
      <c r="AC493" t="s">
        <v>54</v>
      </c>
      <c r="AD493">
        <v>76631.56</v>
      </c>
      <c r="AE493" t="b">
        <v>0</v>
      </c>
      <c r="AF493">
        <v>2001724.97</v>
      </c>
    </row>
    <row r="494" spans="1:32" x14ac:dyDescent="0.3">
      <c r="A494" t="s">
        <v>1111</v>
      </c>
      <c r="B494" t="s">
        <v>1112</v>
      </c>
      <c r="C494" t="s">
        <v>30</v>
      </c>
      <c r="D494" t="s">
        <v>31</v>
      </c>
      <c r="E494">
        <v>986600</v>
      </c>
      <c r="F494">
        <v>84</v>
      </c>
      <c r="G494">
        <v>12.8</v>
      </c>
      <c r="H494">
        <v>864584.46</v>
      </c>
      <c r="I494">
        <v>0</v>
      </c>
      <c r="J494">
        <v>0</v>
      </c>
      <c r="K494">
        <v>0</v>
      </c>
      <c r="L494">
        <v>1</v>
      </c>
      <c r="M494">
        <v>142117484.08000001</v>
      </c>
      <c r="N494" s="1">
        <v>45596</v>
      </c>
      <c r="O494" t="s">
        <v>32</v>
      </c>
      <c r="P494" t="s">
        <v>33</v>
      </c>
      <c r="Q494" s="1">
        <v>45246</v>
      </c>
      <c r="R494" t="s">
        <v>89</v>
      </c>
      <c r="S494" t="s">
        <v>189</v>
      </c>
      <c r="T494">
        <v>2023</v>
      </c>
      <c r="U494">
        <v>847</v>
      </c>
      <c r="V494">
        <v>850</v>
      </c>
      <c r="W494" t="s">
        <v>57</v>
      </c>
      <c r="X494">
        <v>888000</v>
      </c>
      <c r="Y494">
        <v>0.24110000000000001</v>
      </c>
      <c r="Z494">
        <v>43</v>
      </c>
      <c r="AA494" t="s">
        <v>113</v>
      </c>
      <c r="AB494" t="s">
        <v>38</v>
      </c>
      <c r="AC494" t="s">
        <v>39</v>
      </c>
      <c r="AD494">
        <v>17841.09</v>
      </c>
      <c r="AE494" t="b">
        <v>0</v>
      </c>
      <c r="AF494">
        <v>1053186.31</v>
      </c>
    </row>
    <row r="495" spans="1:32" x14ac:dyDescent="0.3">
      <c r="A495" t="s">
        <v>1113</v>
      </c>
      <c r="B495" t="s">
        <v>1114</v>
      </c>
      <c r="C495" t="s">
        <v>30</v>
      </c>
      <c r="D495" t="s">
        <v>31</v>
      </c>
      <c r="E495">
        <v>462600</v>
      </c>
      <c r="F495">
        <v>48</v>
      </c>
      <c r="G495">
        <v>9.4600000000000009</v>
      </c>
      <c r="H495">
        <v>271615.78000000003</v>
      </c>
      <c r="I495">
        <v>352</v>
      </c>
      <c r="J495">
        <v>0</v>
      </c>
      <c r="K495">
        <v>0</v>
      </c>
      <c r="L495">
        <v>3</v>
      </c>
      <c r="M495">
        <v>142117484.08000001</v>
      </c>
      <c r="N495" s="1">
        <v>45596</v>
      </c>
      <c r="O495" t="s">
        <v>260</v>
      </c>
      <c r="P495" t="s">
        <v>44</v>
      </c>
      <c r="Q495" s="1">
        <v>45022</v>
      </c>
      <c r="R495" t="s">
        <v>51</v>
      </c>
      <c r="S495" t="s">
        <v>194</v>
      </c>
      <c r="T495">
        <v>2023</v>
      </c>
      <c r="U495">
        <v>847</v>
      </c>
      <c r="V495">
        <v>872</v>
      </c>
      <c r="W495" t="s">
        <v>70</v>
      </c>
      <c r="X495">
        <v>1852000</v>
      </c>
      <c r="Y495">
        <v>7.5200000000000003E-2</v>
      </c>
      <c r="Z495">
        <v>31</v>
      </c>
      <c r="AA495" t="s">
        <v>108</v>
      </c>
      <c r="AB495" t="s">
        <v>38</v>
      </c>
      <c r="AC495" t="s">
        <v>54</v>
      </c>
      <c r="AD495">
        <v>11613.13</v>
      </c>
      <c r="AE495" t="b">
        <v>0</v>
      </c>
      <c r="AF495">
        <v>546790.96</v>
      </c>
    </row>
    <row r="496" spans="1:32" x14ac:dyDescent="0.3">
      <c r="A496" t="s">
        <v>1115</v>
      </c>
      <c r="B496" t="s">
        <v>1116</v>
      </c>
      <c r="C496" t="s">
        <v>98</v>
      </c>
      <c r="D496" t="s">
        <v>31</v>
      </c>
      <c r="E496">
        <v>1126600</v>
      </c>
      <c r="F496">
        <v>60</v>
      </c>
      <c r="G496">
        <v>13.59</v>
      </c>
      <c r="H496">
        <v>884760.83</v>
      </c>
      <c r="I496">
        <v>0</v>
      </c>
      <c r="J496">
        <v>0</v>
      </c>
      <c r="K496">
        <v>0</v>
      </c>
      <c r="L496">
        <v>1</v>
      </c>
      <c r="M496">
        <v>142117484.08000001</v>
      </c>
      <c r="N496" s="1">
        <v>45596</v>
      </c>
      <c r="O496" t="s">
        <v>32</v>
      </c>
      <c r="P496" t="s">
        <v>74</v>
      </c>
      <c r="Q496" s="1">
        <v>45111</v>
      </c>
      <c r="R496" t="s">
        <v>94</v>
      </c>
      <c r="S496" t="s">
        <v>117</v>
      </c>
      <c r="T496">
        <v>2023</v>
      </c>
      <c r="U496">
        <v>848</v>
      </c>
      <c r="V496">
        <v>850</v>
      </c>
      <c r="W496" t="s">
        <v>70</v>
      </c>
      <c r="X496">
        <v>1398000</v>
      </c>
      <c r="Y496">
        <v>0.223</v>
      </c>
      <c r="Z496">
        <v>59</v>
      </c>
      <c r="AA496" t="s">
        <v>47</v>
      </c>
      <c r="AB496" t="s">
        <v>38</v>
      </c>
      <c r="AC496" t="s">
        <v>39</v>
      </c>
      <c r="AD496">
        <v>25975.16</v>
      </c>
      <c r="AE496" t="b">
        <v>0</v>
      </c>
      <c r="AF496">
        <v>1154668.3500000001</v>
      </c>
    </row>
    <row r="497" spans="1:32" x14ac:dyDescent="0.3">
      <c r="A497" t="s">
        <v>1117</v>
      </c>
      <c r="B497" t="s">
        <v>1118</v>
      </c>
      <c r="C497" t="s">
        <v>67</v>
      </c>
      <c r="D497" t="s">
        <v>84</v>
      </c>
      <c r="E497">
        <v>1698600</v>
      </c>
      <c r="F497">
        <v>48</v>
      </c>
      <c r="G497">
        <v>10.75</v>
      </c>
      <c r="H497">
        <v>737913.94</v>
      </c>
      <c r="I497">
        <v>0</v>
      </c>
      <c r="J497">
        <v>0</v>
      </c>
      <c r="K497">
        <v>0</v>
      </c>
      <c r="L497">
        <v>1</v>
      </c>
      <c r="M497">
        <v>142117484.08000001</v>
      </c>
      <c r="N497" s="1">
        <v>45596</v>
      </c>
      <c r="O497" t="s">
        <v>32</v>
      </c>
      <c r="P497" t="s">
        <v>74</v>
      </c>
      <c r="Q497" s="1">
        <v>44802</v>
      </c>
      <c r="R497" t="s">
        <v>99</v>
      </c>
      <c r="S497" t="s">
        <v>157</v>
      </c>
      <c r="T497">
        <v>2019</v>
      </c>
      <c r="U497">
        <v>848</v>
      </c>
      <c r="V497">
        <v>859</v>
      </c>
      <c r="W497" t="s">
        <v>70</v>
      </c>
      <c r="X497">
        <v>3613000</v>
      </c>
      <c r="Y497">
        <v>0.14510000000000001</v>
      </c>
      <c r="Z497">
        <v>46</v>
      </c>
      <c r="AA497" t="s">
        <v>37</v>
      </c>
      <c r="AB497" t="s">
        <v>38</v>
      </c>
      <c r="AC497" t="s">
        <v>81</v>
      </c>
      <c r="AD497">
        <v>43695.27</v>
      </c>
      <c r="AE497" t="b">
        <v>0</v>
      </c>
      <c r="AF497">
        <v>1359894.81</v>
      </c>
    </row>
    <row r="498" spans="1:32" x14ac:dyDescent="0.3">
      <c r="A498" t="s">
        <v>1119</v>
      </c>
      <c r="B498" t="s">
        <v>1120</v>
      </c>
      <c r="C498" t="s">
        <v>30</v>
      </c>
      <c r="D498" t="s">
        <v>31</v>
      </c>
      <c r="E498">
        <v>642000</v>
      </c>
      <c r="F498">
        <v>48</v>
      </c>
      <c r="G498">
        <v>13.5</v>
      </c>
      <c r="H498">
        <v>439053.09</v>
      </c>
      <c r="I498">
        <v>0</v>
      </c>
      <c r="J498">
        <v>0</v>
      </c>
      <c r="K498">
        <v>0</v>
      </c>
      <c r="L498">
        <v>1</v>
      </c>
      <c r="M498">
        <v>142117484.08000001</v>
      </c>
      <c r="N498" s="1">
        <v>45596</v>
      </c>
      <c r="O498" t="s">
        <v>32</v>
      </c>
      <c r="P498" t="s">
        <v>44</v>
      </c>
      <c r="Q498" s="1">
        <v>45140</v>
      </c>
      <c r="R498" t="s">
        <v>171</v>
      </c>
      <c r="S498" t="s">
        <v>594</v>
      </c>
      <c r="T498">
        <v>2023</v>
      </c>
      <c r="U498">
        <v>848</v>
      </c>
      <c r="V498">
        <v>845</v>
      </c>
      <c r="W498" t="s">
        <v>63</v>
      </c>
      <c r="X498">
        <v>3518000</v>
      </c>
      <c r="Y498">
        <v>5.9299999999999999E-2</v>
      </c>
      <c r="Z498">
        <v>38</v>
      </c>
      <c r="AA498" t="s">
        <v>76</v>
      </c>
      <c r="AB498" t="s">
        <v>38</v>
      </c>
      <c r="AC498" t="s">
        <v>81</v>
      </c>
      <c r="AD498">
        <v>17383</v>
      </c>
      <c r="AE498" t="b">
        <v>0</v>
      </c>
      <c r="AF498">
        <v>866789.5</v>
      </c>
    </row>
    <row r="499" spans="1:32" x14ac:dyDescent="0.3">
      <c r="A499" t="s">
        <v>1121</v>
      </c>
      <c r="B499" t="s">
        <v>1122</v>
      </c>
      <c r="C499" t="s">
        <v>98</v>
      </c>
      <c r="D499" t="s">
        <v>31</v>
      </c>
      <c r="E499">
        <v>1446500</v>
      </c>
      <c r="F499">
        <v>60</v>
      </c>
      <c r="G499">
        <v>12.01</v>
      </c>
      <c r="H499">
        <v>1325707.51</v>
      </c>
      <c r="I499">
        <v>0</v>
      </c>
      <c r="J499">
        <v>0</v>
      </c>
      <c r="K499">
        <v>0</v>
      </c>
      <c r="L499">
        <v>1</v>
      </c>
      <c r="M499">
        <v>142117484.08000001</v>
      </c>
      <c r="N499" s="1">
        <v>45596</v>
      </c>
      <c r="O499" t="s">
        <v>32</v>
      </c>
      <c r="P499" t="s">
        <v>50</v>
      </c>
      <c r="Q499" s="1">
        <v>45547</v>
      </c>
      <c r="R499" t="s">
        <v>45</v>
      </c>
      <c r="S499" t="s">
        <v>107</v>
      </c>
      <c r="T499">
        <v>2024</v>
      </c>
      <c r="U499">
        <v>848</v>
      </c>
      <c r="V499">
        <v>877</v>
      </c>
      <c r="W499" t="s">
        <v>57</v>
      </c>
      <c r="X499">
        <v>1576000</v>
      </c>
      <c r="Y499">
        <v>0.24510000000000001</v>
      </c>
      <c r="Z499">
        <v>52</v>
      </c>
      <c r="AA499" t="s">
        <v>162</v>
      </c>
      <c r="AB499" t="s">
        <v>38</v>
      </c>
      <c r="AC499" t="s">
        <v>81</v>
      </c>
      <c r="AD499">
        <v>32183.9</v>
      </c>
      <c r="AE499" t="b">
        <v>0</v>
      </c>
      <c r="AF499">
        <v>1675233.37</v>
      </c>
    </row>
    <row r="500" spans="1:32" x14ac:dyDescent="0.3">
      <c r="A500" t="s">
        <v>1123</v>
      </c>
      <c r="B500" t="s">
        <v>1124</v>
      </c>
      <c r="C500" t="s">
        <v>30</v>
      </c>
      <c r="D500" t="s">
        <v>31</v>
      </c>
      <c r="E500">
        <v>1206600</v>
      </c>
      <c r="F500">
        <v>84</v>
      </c>
      <c r="G500">
        <v>10.82</v>
      </c>
      <c r="H500">
        <v>700432.19</v>
      </c>
      <c r="I500">
        <v>0</v>
      </c>
      <c r="J500">
        <v>0</v>
      </c>
      <c r="K500">
        <v>0</v>
      </c>
      <c r="L500">
        <v>1</v>
      </c>
      <c r="M500">
        <v>142117484.08000001</v>
      </c>
      <c r="N500" s="1">
        <v>45596</v>
      </c>
      <c r="O500" t="s">
        <v>32</v>
      </c>
      <c r="P500" t="s">
        <v>44</v>
      </c>
      <c r="Q500" s="1">
        <v>44646</v>
      </c>
      <c r="R500" t="s">
        <v>99</v>
      </c>
      <c r="S500" t="s">
        <v>157</v>
      </c>
      <c r="T500">
        <v>2022</v>
      </c>
      <c r="U500">
        <v>849</v>
      </c>
      <c r="V500">
        <v>816</v>
      </c>
      <c r="W500" t="s">
        <v>36</v>
      </c>
      <c r="X500">
        <v>4337000</v>
      </c>
      <c r="Y500">
        <v>5.6800000000000003E-2</v>
      </c>
      <c r="Z500">
        <v>27</v>
      </c>
      <c r="AA500" t="s">
        <v>233</v>
      </c>
      <c r="AB500" t="s">
        <v>38</v>
      </c>
      <c r="AC500" t="s">
        <v>39</v>
      </c>
      <c r="AD500">
        <v>20545.91</v>
      </c>
      <c r="AE500" t="b">
        <v>0</v>
      </c>
      <c r="AF500">
        <v>1291046.1599999999</v>
      </c>
    </row>
    <row r="501" spans="1:32" x14ac:dyDescent="0.3">
      <c r="A501" t="s">
        <v>1125</v>
      </c>
      <c r="B501" t="s">
        <v>1126</v>
      </c>
      <c r="C501" t="s">
        <v>103</v>
      </c>
      <c r="D501" t="s">
        <v>31</v>
      </c>
      <c r="E501">
        <v>2694800</v>
      </c>
      <c r="F501">
        <v>48</v>
      </c>
      <c r="G501">
        <v>12.97</v>
      </c>
      <c r="H501">
        <v>1432720.87</v>
      </c>
      <c r="I501">
        <v>34</v>
      </c>
      <c r="J501">
        <v>0</v>
      </c>
      <c r="K501">
        <v>0</v>
      </c>
      <c r="L501">
        <v>2</v>
      </c>
      <c r="M501">
        <v>142117484.08000001</v>
      </c>
      <c r="N501" s="1">
        <v>45596</v>
      </c>
      <c r="O501" t="s">
        <v>116</v>
      </c>
      <c r="P501" t="s">
        <v>74</v>
      </c>
      <c r="Q501" s="1">
        <v>44893</v>
      </c>
      <c r="R501" t="s">
        <v>94</v>
      </c>
      <c r="S501" t="s">
        <v>95</v>
      </c>
      <c r="T501">
        <v>2022</v>
      </c>
      <c r="U501">
        <v>850</v>
      </c>
      <c r="V501">
        <v>847</v>
      </c>
      <c r="W501" t="s">
        <v>63</v>
      </c>
      <c r="X501">
        <v>1440000</v>
      </c>
      <c r="Y501">
        <v>0.60209999999999997</v>
      </c>
      <c r="Z501">
        <v>50</v>
      </c>
      <c r="AA501" t="s">
        <v>233</v>
      </c>
      <c r="AB501" t="s">
        <v>38</v>
      </c>
      <c r="AC501" t="s">
        <v>81</v>
      </c>
      <c r="AD501">
        <v>72254.62</v>
      </c>
      <c r="AE501" t="b">
        <v>0</v>
      </c>
      <c r="AF501">
        <v>1995094.77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A5A3-A1B4-432E-8ABC-EDA99ECEAF0A}">
  <dimension ref="A1:B8"/>
  <sheetViews>
    <sheetView workbookViewId="0">
      <selection activeCell="B12" sqref="B12"/>
    </sheetView>
  </sheetViews>
  <sheetFormatPr defaultRowHeight="14.4" x14ac:dyDescent="0.3"/>
  <cols>
    <col min="1" max="1" width="10" bestFit="1" customWidth="1"/>
    <col min="2" max="2" width="14" bestFit="1" customWidth="1"/>
  </cols>
  <sheetData>
    <row r="1" spans="1:2" x14ac:dyDescent="0.3">
      <c r="A1" t="s">
        <v>1131</v>
      </c>
      <c r="B1" t="s">
        <v>1132</v>
      </c>
    </row>
    <row r="2" spans="1:2" x14ac:dyDescent="0.3">
      <c r="A2" t="s">
        <v>1133</v>
      </c>
      <c r="B2" s="2">
        <v>326164171.89999998</v>
      </c>
    </row>
    <row r="3" spans="1:2" x14ac:dyDescent="0.3">
      <c r="A3" t="s">
        <v>1134</v>
      </c>
      <c r="B3" s="3">
        <v>1.7999999999999999E-2</v>
      </c>
    </row>
    <row r="4" spans="1:2" x14ac:dyDescent="0.3">
      <c r="A4" t="s">
        <v>1135</v>
      </c>
      <c r="B4" s="3">
        <v>0.94159999999999999</v>
      </c>
    </row>
    <row r="5" spans="1:2" x14ac:dyDescent="0.3">
      <c r="A5" t="s">
        <v>1136</v>
      </c>
      <c r="B5" s="2">
        <v>5528029.2644733395</v>
      </c>
    </row>
    <row r="6" spans="1:2" x14ac:dyDescent="0.3">
      <c r="A6" t="s">
        <v>1137</v>
      </c>
      <c r="B6" s="2">
        <f>B2*B3*B4</f>
        <v>5528091.3166987188</v>
      </c>
    </row>
    <row r="7" spans="1:2" x14ac:dyDescent="0.3">
      <c r="A7" t="s">
        <v>1138</v>
      </c>
      <c r="B7" s="2">
        <f>B5-B6</f>
        <v>-62.052225379273295</v>
      </c>
    </row>
    <row r="8" spans="1:2" x14ac:dyDescent="0.3">
      <c r="A8" t="s">
        <v>1139</v>
      </c>
      <c r="B8" s="4">
        <f>IFERROR(B7/B5,0)</f>
        <v>-1.1225017526238632E-5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53D0-CE87-4F96-9D71-27FD5273C265}">
  <dimension ref="A1:E12"/>
  <sheetViews>
    <sheetView zoomScaleNormal="100" workbookViewId="0">
      <selection activeCell="C22" sqref="C22"/>
    </sheetView>
  </sheetViews>
  <sheetFormatPr defaultRowHeight="14.4" x14ac:dyDescent="0.3"/>
  <cols>
    <col min="1" max="1" width="31.77734375" bestFit="1" customWidth="1"/>
    <col min="2" max="2" width="16.44140625" bestFit="1" customWidth="1"/>
    <col min="3" max="3" width="16.77734375" bestFit="1" customWidth="1"/>
    <col min="4" max="4" width="16.44140625" bestFit="1" customWidth="1"/>
    <col min="5" max="5" width="15.21875" bestFit="1" customWidth="1"/>
  </cols>
  <sheetData>
    <row r="1" spans="1:5" x14ac:dyDescent="0.3">
      <c r="A1" t="s">
        <v>1145</v>
      </c>
      <c r="B1" t="s">
        <v>1148</v>
      </c>
      <c r="C1" s="7" t="s">
        <v>1155</v>
      </c>
      <c r="D1" t="s">
        <v>1156</v>
      </c>
      <c r="E1" t="s">
        <v>1157</v>
      </c>
    </row>
    <row r="2" spans="1:5" x14ac:dyDescent="0.3">
      <c r="A2" t="s">
        <v>1144</v>
      </c>
      <c r="B2" s="6">
        <v>11150154.9</v>
      </c>
      <c r="C2" t="s">
        <v>1158</v>
      </c>
      <c r="D2">
        <f>B7</f>
        <v>11150154.9</v>
      </c>
      <c r="E2" s="5">
        <f>B7-B4</f>
        <v>0</v>
      </c>
    </row>
    <row r="3" spans="1:5" x14ac:dyDescent="0.3">
      <c r="A3" t="s">
        <v>1141</v>
      </c>
      <c r="B3" s="6">
        <v>317785202.13999999</v>
      </c>
      <c r="C3" t="s">
        <v>1159</v>
      </c>
      <c r="D3">
        <f>B8</f>
        <v>0</v>
      </c>
      <c r="E3">
        <f>B8-B5</f>
        <v>0</v>
      </c>
    </row>
    <row r="4" spans="1:5" x14ac:dyDescent="0.3">
      <c r="A4" t="s">
        <v>1142</v>
      </c>
      <c r="B4" s="5">
        <v>11150154.9</v>
      </c>
      <c r="C4" t="s">
        <v>1160</v>
      </c>
      <c r="D4" s="5">
        <f>B9</f>
        <v>0</v>
      </c>
      <c r="E4" s="5">
        <f>B9-B6</f>
        <v>0</v>
      </c>
    </row>
    <row r="5" spans="1:5" x14ac:dyDescent="0.3">
      <c r="A5" t="s">
        <v>1146</v>
      </c>
      <c r="B5">
        <v>0</v>
      </c>
      <c r="C5" t="s">
        <v>1161</v>
      </c>
      <c r="D5" s="6">
        <f>B10</f>
        <v>11150154.9</v>
      </c>
      <c r="E5" s="6">
        <f>B10-B2</f>
        <v>0</v>
      </c>
    </row>
    <row r="6" spans="1:5" x14ac:dyDescent="0.3">
      <c r="A6" t="s">
        <v>1147</v>
      </c>
      <c r="B6">
        <v>0</v>
      </c>
      <c r="C6" t="s">
        <v>1162</v>
      </c>
      <c r="D6" s="6">
        <f>B11</f>
        <v>0</v>
      </c>
      <c r="E6" s="6">
        <f>B11</f>
        <v>0</v>
      </c>
    </row>
    <row r="7" spans="1:5" x14ac:dyDescent="0.3">
      <c r="A7" t="s">
        <v>1149</v>
      </c>
      <c r="B7">
        <f>MIN(B2,B3*70%)</f>
        <v>11150154.9</v>
      </c>
    </row>
    <row r="8" spans="1:5" x14ac:dyDescent="0.3">
      <c r="A8" t="s">
        <v>1150</v>
      </c>
      <c r="B8">
        <f>MIN(MAX(B2-B7,0),B3*20%)</f>
        <v>0</v>
      </c>
    </row>
    <row r="9" spans="1:5" x14ac:dyDescent="0.3">
      <c r="A9" t="s">
        <v>1151</v>
      </c>
      <c r="B9" s="5">
        <f>MAX(B2-B7-B8,0)</f>
        <v>0</v>
      </c>
    </row>
    <row r="10" spans="1:5" x14ac:dyDescent="0.3">
      <c r="A10" t="s">
        <v>1152</v>
      </c>
      <c r="B10" s="6">
        <f>SUM(B7:B9)</f>
        <v>11150154.9</v>
      </c>
    </row>
    <row r="11" spans="1:5" x14ac:dyDescent="0.3">
      <c r="A11" t="s">
        <v>1153</v>
      </c>
      <c r="B11" s="6">
        <f>B10-B2</f>
        <v>0</v>
      </c>
    </row>
    <row r="12" spans="1:5" x14ac:dyDescent="0.3">
      <c r="A12" t="s">
        <v>1154</v>
      </c>
      <c r="B12" s="3">
        <f>IFERROR(B11/B2,0)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1CBB-2C93-483B-8976-547156C5A6B7}">
  <dimension ref="A1:B115"/>
  <sheetViews>
    <sheetView tabSelected="1" workbookViewId="0">
      <selection activeCell="B26" sqref="B26"/>
    </sheetView>
  </sheetViews>
  <sheetFormatPr defaultRowHeight="14.4" x14ac:dyDescent="0.3"/>
  <cols>
    <col min="1" max="1" width="30.77734375" bestFit="1" customWidth="1"/>
    <col min="2" max="2" width="255.77734375" bestFit="1" customWidth="1"/>
  </cols>
  <sheetData>
    <row r="1" spans="1:2" x14ac:dyDescent="0.3">
      <c r="A1" t="s">
        <v>1143</v>
      </c>
      <c r="B1" t="s">
        <v>1163</v>
      </c>
    </row>
    <row r="2" spans="1:2" x14ac:dyDescent="0.3">
      <c r="A2" t="s">
        <v>1164</v>
      </c>
      <c r="B2" t="s">
        <v>1165</v>
      </c>
    </row>
    <row r="3" spans="1:2" x14ac:dyDescent="0.3">
      <c r="A3" t="s">
        <v>1166</v>
      </c>
      <c r="B3" t="s">
        <v>1167</v>
      </c>
    </row>
    <row r="4" spans="1:2" x14ac:dyDescent="0.3">
      <c r="A4" t="s">
        <v>1168</v>
      </c>
      <c r="B4" t="s">
        <v>1169</v>
      </c>
    </row>
    <row r="5" spans="1:2" x14ac:dyDescent="0.3">
      <c r="A5" t="s">
        <v>1170</v>
      </c>
      <c r="B5" t="s">
        <v>1171</v>
      </c>
    </row>
    <row r="6" spans="1:2" x14ac:dyDescent="0.3">
      <c r="A6" t="s">
        <v>1134</v>
      </c>
      <c r="B6" t="s">
        <v>1172</v>
      </c>
    </row>
    <row r="7" spans="1:2" x14ac:dyDescent="0.3">
      <c r="A7" t="s">
        <v>1173</v>
      </c>
      <c r="B7" t="s">
        <v>1174</v>
      </c>
    </row>
    <row r="8" spans="1:2" x14ac:dyDescent="0.3">
      <c r="A8" t="s">
        <v>1175</v>
      </c>
      <c r="B8" t="s">
        <v>1176</v>
      </c>
    </row>
    <row r="9" spans="1:2" x14ac:dyDescent="0.3">
      <c r="A9" t="s">
        <v>1177</v>
      </c>
      <c r="B9" t="s">
        <v>1178</v>
      </c>
    </row>
    <row r="10" spans="1:2" x14ac:dyDescent="0.3">
      <c r="A10" t="s">
        <v>1179</v>
      </c>
      <c r="B10" t="s">
        <v>1180</v>
      </c>
    </row>
    <row r="11" spans="1:2" x14ac:dyDescent="0.3">
      <c r="A11" t="s">
        <v>1181</v>
      </c>
      <c r="B11" t="s">
        <v>1182</v>
      </c>
    </row>
    <row r="12" spans="1:2" x14ac:dyDescent="0.3">
      <c r="A12" t="s">
        <v>1183</v>
      </c>
      <c r="B12" t="s">
        <v>1184</v>
      </c>
    </row>
    <row r="13" spans="1:2" x14ac:dyDescent="0.3">
      <c r="A13" t="s">
        <v>1185</v>
      </c>
      <c r="B13" t="s">
        <v>1186</v>
      </c>
    </row>
    <row r="14" spans="1:2" x14ac:dyDescent="0.3">
      <c r="A14" t="s">
        <v>1187</v>
      </c>
      <c r="B14" t="s">
        <v>1188</v>
      </c>
    </row>
    <row r="15" spans="1:2" x14ac:dyDescent="0.3">
      <c r="A15" t="s">
        <v>1189</v>
      </c>
      <c r="B15" t="s">
        <v>1190</v>
      </c>
    </row>
    <row r="16" spans="1:2" x14ac:dyDescent="0.3">
      <c r="A16" t="s">
        <v>1191</v>
      </c>
      <c r="B16" t="s">
        <v>1192</v>
      </c>
    </row>
    <row r="17" spans="1:2" x14ac:dyDescent="0.3">
      <c r="A17" t="s">
        <v>1193</v>
      </c>
      <c r="B17" t="s">
        <v>1194</v>
      </c>
    </row>
    <row r="18" spans="1:2" x14ac:dyDescent="0.3">
      <c r="A18" t="s">
        <v>1195</v>
      </c>
      <c r="B18" t="s">
        <v>1196</v>
      </c>
    </row>
    <row r="19" spans="1:2" x14ac:dyDescent="0.3">
      <c r="A19" t="s">
        <v>1197</v>
      </c>
      <c r="B19" t="s">
        <v>1198</v>
      </c>
    </row>
    <row r="20" spans="1:2" x14ac:dyDescent="0.3">
      <c r="A20" t="s">
        <v>1199</v>
      </c>
      <c r="B20" t="s">
        <v>1200</v>
      </c>
    </row>
    <row r="21" spans="1:2" x14ac:dyDescent="0.3">
      <c r="A21" t="s">
        <v>1201</v>
      </c>
      <c r="B21" t="s">
        <v>1202</v>
      </c>
    </row>
    <row r="22" spans="1:2" x14ac:dyDescent="0.3">
      <c r="A22" t="s">
        <v>1203</v>
      </c>
      <c r="B22" t="s">
        <v>1204</v>
      </c>
    </row>
    <row r="23" spans="1:2" x14ac:dyDescent="0.3">
      <c r="A23" t="s">
        <v>1205</v>
      </c>
      <c r="B23" t="s">
        <v>1206</v>
      </c>
    </row>
    <row r="24" spans="1:2" x14ac:dyDescent="0.3">
      <c r="A24" t="s">
        <v>1207</v>
      </c>
      <c r="B24" t="s">
        <v>1208</v>
      </c>
    </row>
    <row r="25" spans="1:2" x14ac:dyDescent="0.3">
      <c r="A25" t="s">
        <v>1209</v>
      </c>
      <c r="B25" t="s">
        <v>1210</v>
      </c>
    </row>
    <row r="26" spans="1:2" x14ac:dyDescent="0.3">
      <c r="A26" t="s">
        <v>1211</v>
      </c>
      <c r="B26" t="s">
        <v>1212</v>
      </c>
    </row>
    <row r="27" spans="1:2" x14ac:dyDescent="0.3">
      <c r="A27" t="s">
        <v>1213</v>
      </c>
      <c r="B27" t="s">
        <v>1214</v>
      </c>
    </row>
    <row r="28" spans="1:2" x14ac:dyDescent="0.3">
      <c r="A28" t="s">
        <v>1215</v>
      </c>
      <c r="B28" t="s">
        <v>1216</v>
      </c>
    </row>
    <row r="29" spans="1:2" x14ac:dyDescent="0.3">
      <c r="A29" t="s">
        <v>1217</v>
      </c>
      <c r="B29" t="s">
        <v>1218</v>
      </c>
    </row>
    <row r="30" spans="1:2" x14ac:dyDescent="0.3">
      <c r="A30" t="s">
        <v>1219</v>
      </c>
      <c r="B30" t="s">
        <v>1220</v>
      </c>
    </row>
    <row r="31" spans="1:2" x14ac:dyDescent="0.3">
      <c r="A31" t="s">
        <v>1221</v>
      </c>
      <c r="B31" t="s">
        <v>1222</v>
      </c>
    </row>
    <row r="32" spans="1:2" x14ac:dyDescent="0.3">
      <c r="A32" t="s">
        <v>1223</v>
      </c>
      <c r="B32" t="s">
        <v>1224</v>
      </c>
    </row>
    <row r="33" spans="1:2" x14ac:dyDescent="0.3">
      <c r="A33" t="s">
        <v>1225</v>
      </c>
      <c r="B33" t="s">
        <v>1226</v>
      </c>
    </row>
    <row r="34" spans="1:2" x14ac:dyDescent="0.3">
      <c r="A34" t="s">
        <v>7</v>
      </c>
      <c r="B34" t="s">
        <v>1227</v>
      </c>
    </row>
    <row r="35" spans="1:2" x14ac:dyDescent="0.3">
      <c r="A35" t="s">
        <v>1228</v>
      </c>
      <c r="B35" t="s">
        <v>1229</v>
      </c>
    </row>
    <row r="36" spans="1:2" x14ac:dyDescent="0.3">
      <c r="A36" t="s">
        <v>1230</v>
      </c>
      <c r="B36" t="s">
        <v>1231</v>
      </c>
    </row>
    <row r="37" spans="1:2" x14ac:dyDescent="0.3">
      <c r="A37" t="s">
        <v>1232</v>
      </c>
      <c r="B37" t="s">
        <v>1233</v>
      </c>
    </row>
    <row r="38" spans="1:2" x14ac:dyDescent="0.3">
      <c r="A38" t="s">
        <v>1234</v>
      </c>
      <c r="B38" t="s">
        <v>1235</v>
      </c>
    </row>
    <row r="39" spans="1:2" x14ac:dyDescent="0.3">
      <c r="A39" t="s">
        <v>1236</v>
      </c>
      <c r="B39" t="s">
        <v>1237</v>
      </c>
    </row>
    <row r="40" spans="1:2" x14ac:dyDescent="0.3">
      <c r="A40" t="s">
        <v>1238</v>
      </c>
      <c r="B40" t="s">
        <v>1239</v>
      </c>
    </row>
    <row r="41" spans="1:2" x14ac:dyDescent="0.3">
      <c r="A41" t="s">
        <v>1240</v>
      </c>
      <c r="B41" t="s">
        <v>1241</v>
      </c>
    </row>
    <row r="42" spans="1:2" x14ac:dyDescent="0.3">
      <c r="A42" t="s">
        <v>1242</v>
      </c>
      <c r="B42" t="s">
        <v>1243</v>
      </c>
    </row>
    <row r="43" spans="1:2" x14ac:dyDescent="0.3">
      <c r="A43" t="s">
        <v>1244</v>
      </c>
      <c r="B43" t="s">
        <v>1245</v>
      </c>
    </row>
    <row r="44" spans="1:2" x14ac:dyDescent="0.3">
      <c r="A44" t="s">
        <v>1246</v>
      </c>
      <c r="B44" t="s">
        <v>1247</v>
      </c>
    </row>
    <row r="45" spans="1:2" x14ac:dyDescent="0.3">
      <c r="A45" t="s">
        <v>1248</v>
      </c>
      <c r="B45" t="s">
        <v>1249</v>
      </c>
    </row>
    <row r="46" spans="1:2" x14ac:dyDescent="0.3">
      <c r="A46" t="s">
        <v>1250</v>
      </c>
      <c r="B46" t="s">
        <v>1251</v>
      </c>
    </row>
    <row r="47" spans="1:2" x14ac:dyDescent="0.3">
      <c r="A47" t="s">
        <v>1252</v>
      </c>
      <c r="B47" t="s">
        <v>1253</v>
      </c>
    </row>
    <row r="48" spans="1:2" x14ac:dyDescent="0.3">
      <c r="A48" t="s">
        <v>1254</v>
      </c>
      <c r="B48" t="s">
        <v>1255</v>
      </c>
    </row>
    <row r="49" spans="1:2" x14ac:dyDescent="0.3">
      <c r="A49" t="s">
        <v>1135</v>
      </c>
      <c r="B49" t="s">
        <v>1256</v>
      </c>
    </row>
    <row r="50" spans="1:2" x14ac:dyDescent="0.3">
      <c r="A50" t="s">
        <v>1257</v>
      </c>
      <c r="B50" t="s">
        <v>1258</v>
      </c>
    </row>
    <row r="51" spans="1:2" x14ac:dyDescent="0.3">
      <c r="A51" t="s">
        <v>1259</v>
      </c>
      <c r="B51" t="s">
        <v>1260</v>
      </c>
    </row>
    <row r="52" spans="1:2" x14ac:dyDescent="0.3">
      <c r="A52" t="s">
        <v>1261</v>
      </c>
      <c r="B52" t="s">
        <v>1262</v>
      </c>
    </row>
    <row r="53" spans="1:2" x14ac:dyDescent="0.3">
      <c r="A53" t="s">
        <v>1263</v>
      </c>
      <c r="B53" t="s">
        <v>1262</v>
      </c>
    </row>
    <row r="54" spans="1:2" x14ac:dyDescent="0.3">
      <c r="A54" t="s">
        <v>1264</v>
      </c>
      <c r="B54" t="s">
        <v>1265</v>
      </c>
    </row>
    <row r="55" spans="1:2" x14ac:dyDescent="0.3">
      <c r="A55" t="s">
        <v>1266</v>
      </c>
      <c r="B55" t="s">
        <v>1267</v>
      </c>
    </row>
    <row r="56" spans="1:2" x14ac:dyDescent="0.3">
      <c r="A56" t="s">
        <v>1268</v>
      </c>
      <c r="B56" t="s">
        <v>1269</v>
      </c>
    </row>
    <row r="57" spans="1:2" x14ac:dyDescent="0.3">
      <c r="A57" t="s">
        <v>1270</v>
      </c>
      <c r="B57" t="s">
        <v>1271</v>
      </c>
    </row>
    <row r="58" spans="1:2" x14ac:dyDescent="0.3">
      <c r="A58" t="s">
        <v>1272</v>
      </c>
      <c r="B58" t="s">
        <v>1273</v>
      </c>
    </row>
    <row r="59" spans="1:2" x14ac:dyDescent="0.3">
      <c r="A59" t="s">
        <v>4</v>
      </c>
      <c r="B59" t="s">
        <v>1274</v>
      </c>
    </row>
    <row r="60" spans="1:2" x14ac:dyDescent="0.3">
      <c r="A60" t="s">
        <v>1275</v>
      </c>
      <c r="B60" t="s">
        <v>1276</v>
      </c>
    </row>
    <row r="61" spans="1:2" x14ac:dyDescent="0.3">
      <c r="A61" t="s">
        <v>1277</v>
      </c>
      <c r="B61" t="s">
        <v>1278</v>
      </c>
    </row>
    <row r="62" spans="1:2" x14ac:dyDescent="0.3">
      <c r="A62" t="s">
        <v>1279</v>
      </c>
      <c r="B62" t="s">
        <v>1280</v>
      </c>
    </row>
    <row r="63" spans="1:2" x14ac:dyDescent="0.3">
      <c r="A63" t="s">
        <v>1281</v>
      </c>
      <c r="B63" t="s">
        <v>1282</v>
      </c>
    </row>
    <row r="64" spans="1:2" x14ac:dyDescent="0.3">
      <c r="A64" t="s">
        <v>1283</v>
      </c>
      <c r="B64" t="s">
        <v>1284</v>
      </c>
    </row>
    <row r="65" spans="1:2" x14ac:dyDescent="0.3">
      <c r="A65" t="s">
        <v>1285</v>
      </c>
      <c r="B65" t="s">
        <v>1286</v>
      </c>
    </row>
    <row r="66" spans="1:2" x14ac:dyDescent="0.3">
      <c r="A66" t="s">
        <v>1287</v>
      </c>
      <c r="B66" t="s">
        <v>1288</v>
      </c>
    </row>
    <row r="67" spans="1:2" x14ac:dyDescent="0.3">
      <c r="A67" t="s">
        <v>1289</v>
      </c>
      <c r="B67" t="s">
        <v>1290</v>
      </c>
    </row>
    <row r="68" spans="1:2" x14ac:dyDescent="0.3">
      <c r="A68" t="s">
        <v>1291</v>
      </c>
      <c r="B68" t="s">
        <v>1292</v>
      </c>
    </row>
    <row r="69" spans="1:2" x14ac:dyDescent="0.3">
      <c r="A69" t="s">
        <v>1293</v>
      </c>
      <c r="B69" t="s">
        <v>1294</v>
      </c>
    </row>
    <row r="70" spans="1:2" x14ac:dyDescent="0.3">
      <c r="A70" t="s">
        <v>1295</v>
      </c>
      <c r="B70" t="s">
        <v>1296</v>
      </c>
    </row>
    <row r="71" spans="1:2" x14ac:dyDescent="0.3">
      <c r="A71" t="s">
        <v>1297</v>
      </c>
      <c r="B71" t="s">
        <v>1298</v>
      </c>
    </row>
    <row r="72" spans="1:2" x14ac:dyDescent="0.3">
      <c r="A72" t="s">
        <v>1299</v>
      </c>
      <c r="B72" t="s">
        <v>1300</v>
      </c>
    </row>
    <row r="73" spans="1:2" x14ac:dyDescent="0.3">
      <c r="A73" t="s">
        <v>1301</v>
      </c>
      <c r="B73" t="s">
        <v>1302</v>
      </c>
    </row>
    <row r="74" spans="1:2" x14ac:dyDescent="0.3">
      <c r="A74" t="s">
        <v>1303</v>
      </c>
      <c r="B74" t="s">
        <v>1304</v>
      </c>
    </row>
    <row r="75" spans="1:2" x14ac:dyDescent="0.3">
      <c r="A75" t="s">
        <v>1305</v>
      </c>
      <c r="B75" t="s">
        <v>1306</v>
      </c>
    </row>
    <row r="76" spans="1:2" x14ac:dyDescent="0.3">
      <c r="A76" t="s">
        <v>1307</v>
      </c>
      <c r="B76" t="s">
        <v>1308</v>
      </c>
    </row>
    <row r="77" spans="1:2" x14ac:dyDescent="0.3">
      <c r="A77" t="s">
        <v>1309</v>
      </c>
      <c r="B77" t="s">
        <v>1310</v>
      </c>
    </row>
    <row r="78" spans="1:2" x14ac:dyDescent="0.3">
      <c r="A78" t="s">
        <v>1311</v>
      </c>
      <c r="B78" t="s">
        <v>1312</v>
      </c>
    </row>
    <row r="79" spans="1:2" x14ac:dyDescent="0.3">
      <c r="A79" t="s">
        <v>1313</v>
      </c>
      <c r="B79" t="s">
        <v>1314</v>
      </c>
    </row>
    <row r="80" spans="1:2" x14ac:dyDescent="0.3">
      <c r="A80" t="s">
        <v>1315</v>
      </c>
      <c r="B80" t="s">
        <v>1316</v>
      </c>
    </row>
    <row r="81" spans="1:2" x14ac:dyDescent="0.3">
      <c r="A81" t="s">
        <v>1317</v>
      </c>
      <c r="B81" t="s">
        <v>1318</v>
      </c>
    </row>
    <row r="82" spans="1:2" x14ac:dyDescent="0.3">
      <c r="A82" t="s">
        <v>1319</v>
      </c>
      <c r="B82" t="s">
        <v>1320</v>
      </c>
    </row>
    <row r="83" spans="1:2" x14ac:dyDescent="0.3">
      <c r="A83" t="s">
        <v>1321</v>
      </c>
      <c r="B83" t="s">
        <v>1322</v>
      </c>
    </row>
    <row r="84" spans="1:2" x14ac:dyDescent="0.3">
      <c r="A84" t="s">
        <v>1140</v>
      </c>
      <c r="B84" t="s">
        <v>1323</v>
      </c>
    </row>
    <row r="85" spans="1:2" x14ac:dyDescent="0.3">
      <c r="A85" t="s">
        <v>1133</v>
      </c>
      <c r="B85" t="s">
        <v>1324</v>
      </c>
    </row>
    <row r="86" spans="1:2" x14ac:dyDescent="0.3">
      <c r="A86" t="s">
        <v>1325</v>
      </c>
      <c r="B86" t="s">
        <v>1326</v>
      </c>
    </row>
    <row r="87" spans="1:2" x14ac:dyDescent="0.3">
      <c r="A87" t="s">
        <v>1327</v>
      </c>
      <c r="B87" t="s">
        <v>1328</v>
      </c>
    </row>
    <row r="88" spans="1:2" x14ac:dyDescent="0.3">
      <c r="A88" t="s">
        <v>1329</v>
      </c>
      <c r="B88" t="s">
        <v>1330</v>
      </c>
    </row>
    <row r="89" spans="1:2" x14ac:dyDescent="0.3">
      <c r="A89" t="s">
        <v>1331</v>
      </c>
      <c r="B89" t="s">
        <v>1332</v>
      </c>
    </row>
    <row r="90" spans="1:2" x14ac:dyDescent="0.3">
      <c r="A90" t="s">
        <v>1333</v>
      </c>
      <c r="B90" t="s">
        <v>1334</v>
      </c>
    </row>
    <row r="91" spans="1:2" x14ac:dyDescent="0.3">
      <c r="A91" t="s">
        <v>1335</v>
      </c>
      <c r="B91" t="s">
        <v>1336</v>
      </c>
    </row>
    <row r="92" spans="1:2" x14ac:dyDescent="0.3">
      <c r="A92" t="s">
        <v>1337</v>
      </c>
      <c r="B92" t="s">
        <v>1338</v>
      </c>
    </row>
    <row r="93" spans="1:2" x14ac:dyDescent="0.3">
      <c r="A93" t="s">
        <v>1141</v>
      </c>
      <c r="B93" t="s">
        <v>1339</v>
      </c>
    </row>
    <row r="94" spans="1:2" x14ac:dyDescent="0.3">
      <c r="A94" t="s">
        <v>1340</v>
      </c>
      <c r="B94" t="s">
        <v>1341</v>
      </c>
    </row>
    <row r="95" spans="1:2" x14ac:dyDescent="0.3">
      <c r="A95" t="s">
        <v>1342</v>
      </c>
      <c r="B95" t="s">
        <v>1343</v>
      </c>
    </row>
    <row r="96" spans="1:2" x14ac:dyDescent="0.3">
      <c r="A96" t="s">
        <v>1344</v>
      </c>
      <c r="B96" t="s">
        <v>1345</v>
      </c>
    </row>
    <row r="97" spans="1:2" x14ac:dyDescent="0.3">
      <c r="A97" t="s">
        <v>1346</v>
      </c>
      <c r="B97" t="s">
        <v>1347</v>
      </c>
    </row>
    <row r="98" spans="1:2" x14ac:dyDescent="0.3">
      <c r="A98" t="s">
        <v>1348</v>
      </c>
      <c r="B98" t="s">
        <v>1349</v>
      </c>
    </row>
    <row r="99" spans="1:2" x14ac:dyDescent="0.3">
      <c r="A99" t="s">
        <v>1350</v>
      </c>
      <c r="B99" t="s">
        <v>1351</v>
      </c>
    </row>
    <row r="100" spans="1:2" x14ac:dyDescent="0.3">
      <c r="A100" t="s">
        <v>1352</v>
      </c>
      <c r="B100" t="s">
        <v>1353</v>
      </c>
    </row>
    <row r="101" spans="1:2" x14ac:dyDescent="0.3">
      <c r="A101" t="s">
        <v>1354</v>
      </c>
      <c r="B101" t="s">
        <v>1355</v>
      </c>
    </row>
    <row r="102" spans="1:2" x14ac:dyDescent="0.3">
      <c r="A102" t="s">
        <v>1356</v>
      </c>
      <c r="B102" t="s">
        <v>1357</v>
      </c>
    </row>
    <row r="103" spans="1:2" x14ac:dyDescent="0.3">
      <c r="A103" t="s">
        <v>1358</v>
      </c>
      <c r="B103" t="s">
        <v>1359</v>
      </c>
    </row>
    <row r="104" spans="1:2" x14ac:dyDescent="0.3">
      <c r="A104" t="s">
        <v>1360</v>
      </c>
      <c r="B104" t="s">
        <v>1361</v>
      </c>
    </row>
    <row r="105" spans="1:2" x14ac:dyDescent="0.3">
      <c r="A105" t="s">
        <v>1362</v>
      </c>
      <c r="B105" t="s">
        <v>1363</v>
      </c>
    </row>
    <row r="106" spans="1:2" x14ac:dyDescent="0.3">
      <c r="A106" t="s">
        <v>1364</v>
      </c>
      <c r="B106" t="s">
        <v>1365</v>
      </c>
    </row>
    <row r="107" spans="1:2" x14ac:dyDescent="0.3">
      <c r="A107" t="s">
        <v>1366</v>
      </c>
      <c r="B107" t="s">
        <v>1367</v>
      </c>
    </row>
    <row r="108" spans="1:2" x14ac:dyDescent="0.3">
      <c r="A108" t="s">
        <v>1368</v>
      </c>
      <c r="B108" t="s">
        <v>1369</v>
      </c>
    </row>
    <row r="109" spans="1:2" x14ac:dyDescent="0.3">
      <c r="A109" t="s">
        <v>1370</v>
      </c>
      <c r="B109" t="s">
        <v>1371</v>
      </c>
    </row>
    <row r="110" spans="1:2" x14ac:dyDescent="0.3">
      <c r="A110" t="s">
        <v>1372</v>
      </c>
      <c r="B110" t="s">
        <v>1373</v>
      </c>
    </row>
    <row r="111" spans="1:2" x14ac:dyDescent="0.3">
      <c r="A111" t="s">
        <v>1374</v>
      </c>
      <c r="B111" t="s">
        <v>1375</v>
      </c>
    </row>
    <row r="112" spans="1:2" x14ac:dyDescent="0.3">
      <c r="A112" t="s">
        <v>1376</v>
      </c>
      <c r="B112" t="s">
        <v>1377</v>
      </c>
    </row>
    <row r="113" spans="1:2" x14ac:dyDescent="0.3">
      <c r="A113" t="s">
        <v>1378</v>
      </c>
      <c r="B113" t="s">
        <v>1379</v>
      </c>
    </row>
    <row r="114" spans="1:2" x14ac:dyDescent="0.3">
      <c r="A114" t="s">
        <v>1380</v>
      </c>
      <c r="B114" t="s">
        <v>1381</v>
      </c>
    </row>
    <row r="115" spans="1:2" x14ac:dyDescent="0.3">
      <c r="A115" t="s">
        <v>1382</v>
      </c>
      <c r="B115" t="s">
        <v>1383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8BD0-E626-4967-838D-0A3B7E4F7449}">
  <dimension ref="A1:C15"/>
  <sheetViews>
    <sheetView workbookViewId="0">
      <selection activeCell="B16" sqref="B16"/>
    </sheetView>
  </sheetViews>
  <sheetFormatPr defaultRowHeight="14.4" x14ac:dyDescent="0.3"/>
  <cols>
    <col min="1" max="1" width="23" bestFit="1" customWidth="1"/>
    <col min="2" max="2" width="13.21875" bestFit="1" customWidth="1"/>
  </cols>
  <sheetData>
    <row r="1" spans="1:3" x14ac:dyDescent="0.3">
      <c r="A1" t="s">
        <v>1384</v>
      </c>
      <c r="B1" t="s">
        <v>1386</v>
      </c>
      <c r="C1" t="s">
        <v>1387</v>
      </c>
    </row>
    <row r="2" spans="1:3" x14ac:dyDescent="0.3">
      <c r="A2" t="s">
        <v>1385</v>
      </c>
      <c r="B2">
        <v>57</v>
      </c>
      <c r="C2" t="str">
        <f>IF(B2&lt;100,"PASS","FAIL")</f>
        <v>PASS</v>
      </c>
    </row>
    <row r="3" spans="1:3" x14ac:dyDescent="0.3">
      <c r="A3" t="s">
        <v>1388</v>
      </c>
      <c r="B3">
        <v>17</v>
      </c>
      <c r="C3" t="str">
        <f>IF(B3&lt;100,"PASS","FAIL")</f>
        <v>PASS</v>
      </c>
    </row>
    <row r="4" spans="1:3" x14ac:dyDescent="0.3">
      <c r="A4" t="s">
        <v>1389</v>
      </c>
      <c r="B4">
        <v>10</v>
      </c>
      <c r="C4" t="str">
        <f>IF(B4&lt;100,"PASS","FAIL")</f>
        <v>PASS</v>
      </c>
    </row>
    <row r="5" spans="1:3" x14ac:dyDescent="0.3">
      <c r="A5" t="s">
        <v>1390</v>
      </c>
      <c r="B5">
        <v>37</v>
      </c>
      <c r="C5" t="str">
        <f t="shared" ref="C5:C15" si="0">IF(B5&lt;100,"PASS","FAIL")</f>
        <v>PASS</v>
      </c>
    </row>
    <row r="6" spans="1:3" x14ac:dyDescent="0.3">
      <c r="A6" t="s">
        <v>1391</v>
      </c>
      <c r="B6">
        <v>11</v>
      </c>
      <c r="C6" t="str">
        <f t="shared" si="0"/>
        <v>PASS</v>
      </c>
    </row>
    <row r="7" spans="1:3" x14ac:dyDescent="0.3">
      <c r="A7" t="s">
        <v>1392</v>
      </c>
      <c r="B7">
        <v>7</v>
      </c>
      <c r="C7" t="str">
        <f t="shared" si="0"/>
        <v>PASS</v>
      </c>
    </row>
    <row r="8" spans="1:3" x14ac:dyDescent="0.3">
      <c r="A8" t="s">
        <v>1393</v>
      </c>
      <c r="B8">
        <v>10</v>
      </c>
      <c r="C8" t="str">
        <f t="shared" si="0"/>
        <v>PASS</v>
      </c>
    </row>
    <row r="9" spans="1:3" x14ac:dyDescent="0.3">
      <c r="A9" t="s">
        <v>1394</v>
      </c>
      <c r="B9">
        <v>13</v>
      </c>
      <c r="C9" t="str">
        <f t="shared" si="0"/>
        <v>PASS</v>
      </c>
    </row>
    <row r="10" spans="1:3" x14ac:dyDescent="0.3">
      <c r="A10" t="s">
        <v>1395</v>
      </c>
      <c r="B10">
        <v>27</v>
      </c>
      <c r="C10" t="str">
        <f t="shared" si="0"/>
        <v>PASS</v>
      </c>
    </row>
    <row r="11" spans="1:3" x14ac:dyDescent="0.3">
      <c r="A11" t="s">
        <v>1396</v>
      </c>
      <c r="B11">
        <v>10</v>
      </c>
      <c r="C11" t="str">
        <f t="shared" si="0"/>
        <v>PASS</v>
      </c>
    </row>
    <row r="12" spans="1:3" x14ac:dyDescent="0.3">
      <c r="A12" t="s">
        <v>1397</v>
      </c>
      <c r="B12">
        <v>27</v>
      </c>
      <c r="C12" t="str">
        <f t="shared" si="0"/>
        <v>PASS</v>
      </c>
    </row>
    <row r="13" spans="1:3" x14ac:dyDescent="0.3">
      <c r="A13" t="s">
        <v>1398</v>
      </c>
      <c r="B13">
        <v>60</v>
      </c>
      <c r="C13" t="str">
        <f t="shared" si="0"/>
        <v>PASS</v>
      </c>
    </row>
    <row r="14" spans="1:3" x14ac:dyDescent="0.3">
      <c r="A14" t="s">
        <v>1399</v>
      </c>
      <c r="B14">
        <v>17</v>
      </c>
      <c r="C14" t="str">
        <f t="shared" si="0"/>
        <v>PASS</v>
      </c>
    </row>
    <row r="15" spans="1:3" x14ac:dyDescent="0.3">
      <c r="A15" t="s">
        <v>1400</v>
      </c>
      <c r="B15">
        <v>31</v>
      </c>
      <c r="C15" t="str">
        <f t="shared" si="0"/>
        <v>PASS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5CDE82-12CE-4F33-B5C4-9A29FBE3E8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export_data</vt:lpstr>
      <vt:lpstr>ECL Crosscheck</vt:lpstr>
      <vt:lpstr>Waterfall Validation</vt:lpstr>
      <vt:lpstr>DAX_Measure_Directory</vt:lpstr>
      <vt:lpstr>DAX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kishlay nath</dc:creator>
  <cp:lastModifiedBy>kishlay nath</cp:lastModifiedBy>
  <dcterms:created xsi:type="dcterms:W3CDTF">2026-09-28T19:50:36Z</dcterms:created>
  <dcterms:modified xsi:type="dcterms:W3CDTF">2026-09-29T11:39:53Z</dcterms:modified>
</cp:coreProperties>
</file>